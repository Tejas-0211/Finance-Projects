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mc:AlternateContent xmlns:mc="http://schemas.openxmlformats.org/markup-compatibility/2006">
    <mc:Choice Requires="x15">
      <x15ac:absPath xmlns:x15ac="http://schemas.microsoft.com/office/spreadsheetml/2010/11/ac" url="C:\Users\TEJAS\Downloads\"/>
    </mc:Choice>
  </mc:AlternateContent>
  <xr:revisionPtr revIDLastSave="0" documentId="13_ncr:1_{22BBF2FE-2C5F-4161-89FC-DFBDB19E62EF}" xr6:coauthVersionLast="47" xr6:coauthVersionMax="47" xr10:uidLastSave="{00000000-0000-0000-0000-000000000000}"/>
  <bookViews>
    <workbookView xWindow="-108" yWindow="-108" windowWidth="24792" windowHeight="14856" activeTab="5" xr2:uid="{00000000-000D-0000-FFFF-FFFF00000000}"/>
  </bookViews>
  <sheets>
    <sheet name="Income Statement" sheetId="2" r:id="rId1"/>
    <sheet name="Balance Sheet" sheetId="3" r:id="rId2"/>
    <sheet name="Cash Flow" sheetId="4" r:id="rId3"/>
    <sheet name="Operating Metrics" sheetId="5" r:id="rId4"/>
    <sheet name="Financial Summary" sheetId="6" r:id="rId5"/>
    <sheet name="Analysis" sheetId="7" r:id="rId6"/>
    <sheet name="FCFF"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7" i="7" l="1"/>
  <c r="B5" i="7"/>
  <c r="B89" i="7"/>
  <c r="B85" i="7"/>
  <c r="B84" i="7"/>
  <c r="B83" i="7"/>
  <c r="B80" i="7"/>
  <c r="E63" i="7"/>
  <c r="B77" i="7"/>
  <c r="B76" i="7"/>
  <c r="B75" i="7"/>
  <c r="B78" i="7" s="1"/>
  <c r="B51" i="7" l="1"/>
  <c r="B10" i="7" s="1"/>
  <c r="B79" i="7" s="1"/>
  <c r="B81" i="7" s="1"/>
  <c r="E37" i="7"/>
  <c r="D37" i="7"/>
  <c r="C37" i="7"/>
  <c r="B37" i="7"/>
  <c r="B33" i="7"/>
  <c r="E62" i="7"/>
  <c r="B55" i="7"/>
  <c r="B52" i="7"/>
  <c r="M45" i="7"/>
  <c r="L45" i="7"/>
  <c r="K45" i="7"/>
  <c r="J45" i="7"/>
  <c r="I45" i="7"/>
  <c r="H45" i="7"/>
  <c r="G45" i="7"/>
  <c r="F45" i="7"/>
  <c r="E33" i="7"/>
  <c r="D33" i="7"/>
  <c r="C33" i="7"/>
  <c r="E30" i="7"/>
  <c r="D30" i="7"/>
  <c r="C30" i="7"/>
  <c r="B30" i="7"/>
  <c r="E19" i="7"/>
  <c r="A19" i="7"/>
  <c r="A18" i="7"/>
  <c r="E24" i="7"/>
  <c r="D24" i="7"/>
  <c r="C24" i="7"/>
  <c r="B24" i="7"/>
  <c r="E21" i="7"/>
  <c r="D21" i="7"/>
  <c r="C21" i="7"/>
  <c r="B21" i="7"/>
  <c r="B53" i="7" l="1"/>
  <c r="C38" i="7"/>
  <c r="D38" i="7"/>
  <c r="E38" i="7"/>
  <c r="E2" i="7" l="1"/>
  <c r="E17" i="7" s="1"/>
  <c r="D2" i="7"/>
  <c r="D17" i="7" s="1"/>
  <c r="D39" i="7" s="1"/>
  <c r="C2" i="7"/>
  <c r="C17" i="7" s="1"/>
  <c r="C39" i="7" s="1"/>
  <c r="B2" i="7"/>
  <c r="B17" i="7" s="1"/>
  <c r="E34" i="7" l="1"/>
  <c r="F33" i="7" s="1"/>
  <c r="B6" i="8" s="1"/>
  <c r="E39" i="7"/>
  <c r="E40" i="7" s="1"/>
  <c r="F38" i="7" s="1"/>
  <c r="B5" i="8" s="1"/>
  <c r="E25" i="7"/>
  <c r="F24" i="7" s="1"/>
  <c r="E31" i="7"/>
  <c r="F17" i="7"/>
  <c r="E22" i="7"/>
  <c r="F21" i="7" s="1"/>
  <c r="B3" i="7"/>
  <c r="E18" i="7" s="1"/>
  <c r="F27" i="7" l="1"/>
  <c r="B3" i="8"/>
  <c r="G38" i="7"/>
  <c r="C5" i="8" s="1"/>
  <c r="G33" i="7"/>
  <c r="C6" i="8" s="1"/>
  <c r="F30" i="7"/>
  <c r="B4" i="8" s="1"/>
  <c r="G24" i="7"/>
  <c r="G17" i="7"/>
  <c r="G21" i="7"/>
  <c r="F43" i="7" l="1"/>
  <c r="F47" i="7" s="1"/>
  <c r="B7" i="8"/>
  <c r="F28" i="7"/>
  <c r="H38" i="7"/>
  <c r="D5" i="8" s="1"/>
  <c r="H33" i="7"/>
  <c r="D6" i="8" s="1"/>
  <c r="G27" i="7"/>
  <c r="H24" i="7"/>
  <c r="G30" i="7"/>
  <c r="C4" i="8" s="1"/>
  <c r="H17" i="7"/>
  <c r="H21" i="7"/>
  <c r="G43" i="7" l="1"/>
  <c r="G47" i="7" s="1"/>
  <c r="C3" i="8"/>
  <c r="C7" i="8" s="1"/>
  <c r="G28" i="7"/>
  <c r="I38" i="7"/>
  <c r="E5" i="8" s="1"/>
  <c r="I33" i="7"/>
  <c r="E6" i="8" s="1"/>
  <c r="H30" i="7"/>
  <c r="D4" i="8" s="1"/>
  <c r="H27" i="7"/>
  <c r="I24" i="7"/>
  <c r="I17" i="7"/>
  <c r="I21" i="7"/>
  <c r="H43" i="7" l="1"/>
  <c r="H47" i="7" s="1"/>
  <c r="D3" i="8"/>
  <c r="D7" i="8" s="1"/>
  <c r="H28" i="7"/>
  <c r="J38" i="7"/>
  <c r="F5" i="8" s="1"/>
  <c r="J33" i="7"/>
  <c r="F6" i="8" s="1"/>
  <c r="I30" i="7"/>
  <c r="E4" i="8" s="1"/>
  <c r="I27" i="7"/>
  <c r="J24" i="7"/>
  <c r="J17" i="7"/>
  <c r="J21" i="7"/>
  <c r="E3" i="8" l="1"/>
  <c r="E7" i="8" s="1"/>
  <c r="I43" i="7"/>
  <c r="I47" i="7" s="1"/>
  <c r="I28" i="7"/>
  <c r="K38" i="7"/>
  <c r="G5" i="8" s="1"/>
  <c r="K33" i="7"/>
  <c r="G6" i="8" s="1"/>
  <c r="J30" i="7"/>
  <c r="F4" i="8" s="1"/>
  <c r="J27" i="7"/>
  <c r="K24" i="7"/>
  <c r="K17" i="7"/>
  <c r="K21" i="7"/>
  <c r="F3" i="8" l="1"/>
  <c r="F7" i="8" s="1"/>
  <c r="J43" i="7"/>
  <c r="J47" i="7" s="1"/>
  <c r="J28" i="7"/>
  <c r="L38" i="7"/>
  <c r="H5" i="8" s="1"/>
  <c r="L33" i="7"/>
  <c r="H6" i="8" s="1"/>
  <c r="K30" i="7"/>
  <c r="G4" i="8" s="1"/>
  <c r="K27" i="7"/>
  <c r="L24" i="7"/>
  <c r="L17" i="7"/>
  <c r="L21" i="7"/>
  <c r="G3" i="8" l="1"/>
  <c r="G7" i="8" s="1"/>
  <c r="K43" i="7"/>
  <c r="K47" i="7" s="1"/>
  <c r="K28" i="7"/>
  <c r="M38" i="7"/>
  <c r="I5" i="8" s="1"/>
  <c r="M33" i="7"/>
  <c r="I6" i="8" s="1"/>
  <c r="L30" i="7"/>
  <c r="H4" i="8" s="1"/>
  <c r="L27" i="7"/>
  <c r="M24" i="7"/>
  <c r="M17" i="7"/>
  <c r="M21" i="7"/>
  <c r="H3" i="8" l="1"/>
  <c r="H7" i="8" s="1"/>
  <c r="L43" i="7"/>
  <c r="L47" i="7" s="1"/>
  <c r="L28" i="7"/>
  <c r="M30" i="7"/>
  <c r="I4" i="8" s="1"/>
  <c r="M27" i="7"/>
  <c r="M43" i="7" l="1"/>
  <c r="I3" i="8"/>
  <c r="I7" i="8" s="1"/>
  <c r="M28" i="7"/>
  <c r="M47" i="7" l="1"/>
  <c r="B54" i="7" s="1"/>
  <c r="N43" i="7"/>
  <c r="O43" i="7" s="1"/>
  <c r="B56" i="7" l="1"/>
  <c r="E61" i="7"/>
  <c r="B86" i="7" l="1"/>
  <c r="B88" i="7" s="1"/>
  <c r="B64" i="7"/>
  <c r="B65" i="7"/>
  <c r="B66" i="7"/>
  <c r="B67" i="7"/>
  <c r="B63" i="7"/>
  <c r="B68" i="7"/>
  <c r="B69" i="7"/>
  <c r="B62" i="7"/>
  <c r="B87" i="7" l="1"/>
</calcChain>
</file>

<file path=xl/sharedStrings.xml><?xml version="1.0" encoding="utf-8"?>
<sst xmlns="http://schemas.openxmlformats.org/spreadsheetml/2006/main" count="1055" uniqueCount="657">
  <si>
    <t>Company Fundamentals - Income Statement</t>
  </si>
  <si>
    <t>Company Name</t>
  </si>
  <si>
    <t>E W Scripps Co (SSP.O)</t>
  </si>
  <si>
    <t>Country of Exchange</t>
  </si>
  <si>
    <t>United States of America</t>
  </si>
  <si>
    <t>Country of Headquarters</t>
  </si>
  <si>
    <t>TRBC Industry Group</t>
  </si>
  <si>
    <t>Media &amp; Publishing</t>
  </si>
  <si>
    <t>CF Template</t>
  </si>
  <si>
    <t>IND</t>
  </si>
  <si>
    <t>Consolidation Basis</t>
  </si>
  <si>
    <t>Consolidated</t>
  </si>
  <si>
    <t>Scaling</t>
  </si>
  <si>
    <t>Millions</t>
  </si>
  <si>
    <t>Period</t>
  </si>
  <si>
    <t>Annual</t>
  </si>
  <si>
    <t>Export Date</t>
  </si>
  <si>
    <t>Statement Data</t>
  </si>
  <si>
    <t>2024</t>
  </si>
  <si>
    <t>2023</t>
  </si>
  <si>
    <t>2022</t>
  </si>
  <si>
    <t>2021</t>
  </si>
  <si>
    <t>2020</t>
  </si>
  <si>
    <t>2019</t>
  </si>
  <si>
    <t>2018</t>
  </si>
  <si>
    <t>2017</t>
  </si>
  <si>
    <t>2016</t>
  </si>
  <si>
    <t>2015</t>
  </si>
  <si>
    <t>2014</t>
  </si>
  <si>
    <t>2013</t>
  </si>
  <si>
    <t>2012</t>
  </si>
  <si>
    <t>2011</t>
  </si>
  <si>
    <t>2010</t>
  </si>
  <si>
    <t>Period End Date</t>
  </si>
  <si>
    <t>Statement Date</t>
  </si>
  <si>
    <t>Standardized Currency</t>
  </si>
  <si>
    <t>USD</t>
  </si>
  <si>
    <t>Template Type</t>
  </si>
  <si>
    <t>Industrial - Operating</t>
  </si>
  <si>
    <t>Income Statement - Standardized (Currency: Standardized)</t>
  </si>
  <si>
    <t>Field Name</t>
  </si>
  <si>
    <t>31-12-2024</t>
  </si>
  <si>
    <t>31-12-2023</t>
  </si>
  <si>
    <t>31-12-2022</t>
  </si>
  <si>
    <t>31-12-2021</t>
  </si>
  <si>
    <t>31-12-2020</t>
  </si>
  <si>
    <t>31-12-2019</t>
  </si>
  <si>
    <t>31-12-2018</t>
  </si>
  <si>
    <t>31-12-2017</t>
  </si>
  <si>
    <t>31-12-2016</t>
  </si>
  <si>
    <t>31-12-2015</t>
  </si>
  <si>
    <t>31-12-2014</t>
  </si>
  <si>
    <t>31-12-2013</t>
  </si>
  <si>
    <t>31-12-2012</t>
  </si>
  <si>
    <t>31-12-2011</t>
  </si>
  <si>
    <t>31-12-2010</t>
  </si>
  <si>
    <t>Revenues</t>
  </si>
  <si>
    <t>Revenue from Goods &amp; Services</t>
  </si>
  <si>
    <t>Sales of Goods &amp; Services - Net - Unclassified</t>
  </si>
  <si>
    <t>Revenue from Business-Related Activities - Other - Total</t>
  </si>
  <si>
    <t>Revenue from Business Activities - Total</t>
  </si>
  <si>
    <t>Operating Expenses</t>
  </si>
  <si>
    <t>Cost of Operating Revenue</t>
  </si>
  <si>
    <t>Cost of Revenues - Total</t>
  </si>
  <si>
    <t>Cost of Revenues - Unclassified</t>
  </si>
  <si>
    <t>Amortization in Cost of Revenues</t>
  </si>
  <si>
    <t>Depreciation in Cost of Revenues</t>
  </si>
  <si>
    <t>Gross Profit - Industrials/Property - Total</t>
  </si>
  <si>
    <t>Selling, General &amp; Administrative Expenses - Total</t>
  </si>
  <si>
    <t>Selling, General &amp; Administrative Expenses - Unclassified</t>
  </si>
  <si>
    <t>Labor &amp; Related Expenses including Stock-Based Compensation in Selling, General &amp; Administrative Expenses</t>
  </si>
  <si>
    <t>Selling, General &amp; Administrative Expenses - Other - Total</t>
  </si>
  <si>
    <t>Advertising Expense</t>
  </si>
  <si>
    <t>Other Operating Expense/(Income) - Net</t>
  </si>
  <si>
    <t>Other Operating Expense</t>
  </si>
  <si>
    <t>Operating Expenses - Total</t>
  </si>
  <si>
    <t>Operating Profit</t>
  </si>
  <si>
    <t>Operating Profit before Non-Recurring Income/Expense</t>
  </si>
  <si>
    <t>Non-Operating Expenses</t>
  </si>
  <si>
    <t>Financing Income/(Expense) - Net - Total</t>
  </si>
  <si>
    <t>Interest Expense - Net of (Interest Income)</t>
  </si>
  <si>
    <t>Interest Expense - Net of Capitalized Interest</t>
  </si>
  <si>
    <t>Sale of Tangible &amp; Intangible Fixed Assets - Gain/(Loss)</t>
  </si>
  <si>
    <t>Equity Earnings/(Loss) - before Taxes including Non-Recurring</t>
  </si>
  <si>
    <t>Other Non-Operating Income/(Expense) - Total</t>
  </si>
  <si>
    <t>Normalized Pre-tax Profit</t>
  </si>
  <si>
    <t>Non-Recurring Income/Expense</t>
  </si>
  <si>
    <t>Non-Recurring Income/(Expense) - Total</t>
  </si>
  <si>
    <t>Impairment - Tangible &amp; Intangible Fixed Assets</t>
  </si>
  <si>
    <t>Impairment - Fixed Assets</t>
  </si>
  <si>
    <t>Impairment - Goodwill</t>
  </si>
  <si>
    <t>Restructuring Charges</t>
  </si>
  <si>
    <t>Early Extinguishment of Lease Related Debts - Gain/(Loss)</t>
  </si>
  <si>
    <t>Sale &amp; Acquisition of Group Companies - Gain/(Loss)</t>
  </si>
  <si>
    <t>Non-Recurring Income/(Expense) - Other - Total</t>
  </si>
  <si>
    <t>Pre-Tax Income</t>
  </si>
  <si>
    <t>Income before Taxes</t>
  </si>
  <si>
    <t>Taxes</t>
  </si>
  <si>
    <t>Income Taxes</t>
  </si>
  <si>
    <t>Income Taxes for the Year - Current</t>
  </si>
  <si>
    <t>Income Taxes - Domestic - Current</t>
  </si>
  <si>
    <t>Income Taxes - Foreign - Current</t>
  </si>
  <si>
    <t>Income Taxes - Other (KFAS/NLST) - Current</t>
  </si>
  <si>
    <t>Income Taxes - Deferred</t>
  </si>
  <si>
    <t>Income Taxes - Domestic - Deferred</t>
  </si>
  <si>
    <t>Income Taxes - Foreign - Deferred</t>
  </si>
  <si>
    <t>Income Taxes - Other - Deferred</t>
  </si>
  <si>
    <t>Net Income After Tax</t>
  </si>
  <si>
    <t>Net Income after Tax</t>
  </si>
  <si>
    <t>After Tax Income/Expense</t>
  </si>
  <si>
    <t>Income before Discontinued Operations &amp; Extraordinary Items</t>
  </si>
  <si>
    <t>Extraordinary Activities - after Tax - Gain/(Loss)</t>
  </si>
  <si>
    <t>Discontinued Operations - Net of Taxes - Total - Income/(Expense)</t>
  </si>
  <si>
    <t>Discontinued Operations - Net - Income/(Expense)</t>
  </si>
  <si>
    <t>Discontinued Operations before Tax - Total - Income/(Expense)</t>
  </si>
  <si>
    <t>Discontinued Operations before Tax - Income/(Expense)</t>
  </si>
  <si>
    <t>Discontinued Operations - Tax Impacts</t>
  </si>
  <si>
    <t>Extraordinary Items</t>
  </si>
  <si>
    <t>Net Income before Minority Interest</t>
  </si>
  <si>
    <t>Minority Interest</t>
  </si>
  <si>
    <t>Net Income after Minority Interest</t>
  </si>
  <si>
    <t>Net Income</t>
  </si>
  <si>
    <t>Distribution for Preferred Shares</t>
  </si>
  <si>
    <t>Earnings Adjustments to Net Income - Other Expense/(Income)</t>
  </si>
  <si>
    <t>Income Available to Common Shares</t>
  </si>
  <si>
    <t>Other Comprehensive Income</t>
  </si>
  <si>
    <t>Other Comprehensive Income - Starting Line</t>
  </si>
  <si>
    <t>Other Comprehensive Income - Hedging Gain/(Loss)</t>
  </si>
  <si>
    <t>Other Comprehensive Income - Other</t>
  </si>
  <si>
    <t>Other Comprehensive Income - Pension Related</t>
  </si>
  <si>
    <t>Other Comprehensive Income - Net of Tax - Total</t>
  </si>
  <si>
    <t>Comprehensive Income before Minority Interest - Total</t>
  </si>
  <si>
    <t>Comprehensive Income - Attributable to Minority Interest - Total</t>
  </si>
  <si>
    <t>Comprehensive Income - Attributable to Parent Company Equity Holders - Total</t>
  </si>
  <si>
    <t>Share/Per Share - Basic</t>
  </si>
  <si>
    <t>Net Income - Basic - including Extraordinary Items Applicable to Common - Total</t>
  </si>
  <si>
    <t>Income available to Common excluding Extraordinary Items</t>
  </si>
  <si>
    <t>Shares used to calculate Basic EPS - Total</t>
  </si>
  <si>
    <t>EPS - Basic - including Extraordinary Items Applicable to Common - Total</t>
  </si>
  <si>
    <t>EPS - Basic - excluding Extraordinary Items Applicable to Common - Total</t>
  </si>
  <si>
    <t>EPS - Basic - excluding Extraordinary Items - Normalized - Total</t>
  </si>
  <si>
    <t>Allocated Net Income including Extraordinary Items Applicable to Common - Issue Specific</t>
  </si>
  <si>
    <t>Earnings Allocation Factor - Basic - Issue Specific</t>
  </si>
  <si>
    <t>Shares used to calculate Basic EPS - Issue Specific</t>
  </si>
  <si>
    <t>EPS - Basic - including Extraordinary Items Applicable to Common - Issue Specific</t>
  </si>
  <si>
    <t>EPS - Basic - excluding Extraordinary Items Applicable to Common - Issue Specific</t>
  </si>
  <si>
    <t>EPS - Basic - excluding Extraordinary Items - Normalized - Issue Specific</t>
  </si>
  <si>
    <t>EPS - Basic from Discontinued Operations &amp; Extraordinary Items</t>
  </si>
  <si>
    <t>Comprehensive Earnings Per Share - Basic - Issue Specific</t>
  </si>
  <si>
    <t>Share/Per Share - Diluted</t>
  </si>
  <si>
    <t>Dilution Adjustment</t>
  </si>
  <si>
    <t>Net Income - Diluted - including Extraordinary Items Applicable to Common - Total</t>
  </si>
  <si>
    <t>Diluted Income available to Common excluding Extraordinary Items</t>
  </si>
  <si>
    <t>Shares used to calculate Diluted EPS - Total</t>
  </si>
  <si>
    <t>EPS - Diluted - including Extraordinary Items Applicable to Common - Total</t>
  </si>
  <si>
    <t>EPS - Diluted - excluding Extraordinary Items Applicable to Common - Total</t>
  </si>
  <si>
    <t>EPS - Diluted - excluding Extraordinary Items - Normalized - Total</t>
  </si>
  <si>
    <t>Allocated Diluted Net Income including Extraordinary Items Applicable to Common - Issue Specific</t>
  </si>
  <si>
    <t>Earnings Allocation Factor - Diluted - Issue Specific</t>
  </si>
  <si>
    <t>Shares used to calculate Diluted EPS - Issue Specific</t>
  </si>
  <si>
    <t>EPS - Diluted - including Extraordinary Items Applicable to Common - Issue Specific</t>
  </si>
  <si>
    <t>EPS - Diluted - excluding Extraordinary Items Applicable to Common - Issue Specific</t>
  </si>
  <si>
    <t>EPS - Diluted - excluding Extraordinary Items - Normalized - Issue Specific</t>
  </si>
  <si>
    <t>EPS - Diluted from Discontinued Operations &amp; Extraordinary Items</t>
  </si>
  <si>
    <t>Comprehensive Earnings Per Share - Diluted - Issue Specific</t>
  </si>
  <si>
    <t>Share/Per Share - Dividends</t>
  </si>
  <si>
    <t>DPS - Common - Gross - Issue - By Announcement Date</t>
  </si>
  <si>
    <t>DPS - Common - Net - Issue - By Announcement Date</t>
  </si>
  <si>
    <t>DPS - Special - Gross - Issue - By Announcement Date</t>
  </si>
  <si>
    <t>DPS - Special - Net - Issue - By Announcement Date</t>
  </si>
  <si>
    <t>EBIT/EBITDA &amp; related</t>
  </si>
  <si>
    <t>Earnings before Interest &amp; Taxes (EBIT)</t>
  </si>
  <si>
    <t>Earnings before Interest, Taxes, Depreciation &amp; Amortization (EBITDA)</t>
  </si>
  <si>
    <t>Earnings before Interest, Taxes, Depreciation &amp; Amortization (EBITDA) and Operating Lease Payments</t>
  </si>
  <si>
    <t>Depreciation/Amortization - Income Statement</t>
  </si>
  <si>
    <t>Depreciation &amp; Amortization - Supplemental</t>
  </si>
  <si>
    <t>Depreciation Expense - Total - Supplemental</t>
  </si>
  <si>
    <t>Depreciation - Fin Lease Right-of-Use Assets - Total - Suppl</t>
  </si>
  <si>
    <t>Amortization - Total - Supplemental</t>
  </si>
  <si>
    <t>Intangible Amortization - Other - Supplemental</t>
  </si>
  <si>
    <t>Depreciation/Amortization - Total</t>
  </si>
  <si>
    <t>Depreciation, Depletion &amp; Amortization - Total</t>
  </si>
  <si>
    <t>Depreciation - Total</t>
  </si>
  <si>
    <t>Amortization of Intangible Assets excluding Goodwill - Total</t>
  </si>
  <si>
    <t>Labor &amp; Related Expenses</t>
  </si>
  <si>
    <t>Labor &amp; Related Expenses - Total</t>
  </si>
  <si>
    <t>Labor &amp; Related Expenses - Supplemental</t>
  </si>
  <si>
    <t>Stock-Based Compensation Expense - Net of Tax - Supplemental</t>
  </si>
  <si>
    <t>Stock-Based Compensation Expense - Pre-tax - Supplemental</t>
  </si>
  <si>
    <t>Stock-Based Compensation - Tax Benefit - Supplemental</t>
  </si>
  <si>
    <t>Auditor Fees</t>
  </si>
  <si>
    <t>Audit-Related Fees</t>
  </si>
  <si>
    <t>Tax Fees</t>
  </si>
  <si>
    <t>Fees - Other</t>
  </si>
  <si>
    <t>Normalized</t>
  </si>
  <si>
    <t>Normalized after Tax Profit</t>
  </si>
  <si>
    <t>Normalized Net Income from Continuing Operations</t>
  </si>
  <si>
    <t>Normalized Net Income - Bottom Line</t>
  </si>
  <si>
    <t>Earnings before Interest &amp; Taxes (EBIT) - Normalized</t>
  </si>
  <si>
    <t>Earnings before Interest, Taxes, Depreciation &amp; Amortization (EBITDA) - Normalized</t>
  </si>
  <si>
    <t>Lease Expenses</t>
  </si>
  <si>
    <t>Lease Expense -Total - Supplemental</t>
  </si>
  <si>
    <t>Operating /Rental Expense - Supplemental</t>
  </si>
  <si>
    <t>Depreciation of Financial Lease ROU Assets - Supplemental</t>
  </si>
  <si>
    <t>Interest Expense on Financial Lease Liabilities - Supple</t>
  </si>
  <si>
    <t>Short-Term Lease Cost - Supplemental</t>
  </si>
  <si>
    <t>Other</t>
  </si>
  <si>
    <t>Rental/Operating Lease Expense</t>
  </si>
  <si>
    <t>Advertising Expenses - Supplemental</t>
  </si>
  <si>
    <t>Cost of Revenue including Operation &amp; Maintenance (Utility) - Total</t>
  </si>
  <si>
    <t>Cost of Revenues excluding Depreciation</t>
  </si>
  <si>
    <t>Interest Expense</t>
  </si>
  <si>
    <t>Selling, General &amp; Administrative Expenses excluding Research &amp; Development Expenses</t>
  </si>
  <si>
    <t>Company Fundamentals - Balance Sheet</t>
  </si>
  <si>
    <t>Industrial - Differentiated</t>
  </si>
  <si>
    <t>Balance Sheet - Standardized (Currency: Standardized)</t>
  </si>
  <si>
    <t>Current Assets</t>
  </si>
  <si>
    <t>Cash &amp; Short-Term Investments</t>
  </si>
  <si>
    <t>Cash &amp; Cash Equivalents</t>
  </si>
  <si>
    <t>Loans &amp; Receivables - Net - Short-Term</t>
  </si>
  <si>
    <t>Trade Accounts &amp; Trade Notes Receivable - Net</t>
  </si>
  <si>
    <t>Trade Accounts &amp; Trade Notes Receivable - Gross</t>
  </si>
  <si>
    <t>Provision - Trade Accounts &amp; Trade Notes Receivable</t>
  </si>
  <si>
    <t>Income Tax - Receivables - Short-Term</t>
  </si>
  <si>
    <t>Receivables - Other - Total</t>
  </si>
  <si>
    <t>Inventories - Total</t>
  </si>
  <si>
    <t>Assets Held for Sale/Discontinued Operations - Short-Term</t>
  </si>
  <si>
    <t>Other Current Assets - Total</t>
  </si>
  <si>
    <t>Deferred Tax - Asset - Short-Term</t>
  </si>
  <si>
    <t>Restricted Accounts - Short-Term</t>
  </si>
  <si>
    <t>Other Current Assets</t>
  </si>
  <si>
    <t>Total Current Assets</t>
  </si>
  <si>
    <t>Non-Current Assets</t>
  </si>
  <si>
    <t>Investments - Long-Term</t>
  </si>
  <si>
    <t>Investments - Available for Sale/Held to Maturity - Long-Term</t>
  </si>
  <si>
    <t>Investments in Associates, Joint Ventures and Unconsolidated Subsidiaries</t>
  </si>
  <si>
    <t>Property, Plant &amp; Equipment - Net - Total</t>
  </si>
  <si>
    <t>Property, Plant &amp; Equipment - excluding Assets Leased Out - Net - Total</t>
  </si>
  <si>
    <t>Right of Use Tangible Assets - Total - Net</t>
  </si>
  <si>
    <t>Right of Use Tangible Assets - Operating Lease - Net</t>
  </si>
  <si>
    <t>Property, Plant &amp; Equipment - Other - Net</t>
  </si>
  <si>
    <t>Property, Plant &amp; Equipment - Gross - Total</t>
  </si>
  <si>
    <t>Property, Plant &amp; Equipment - excluding Assets Leased Out - Gross</t>
  </si>
  <si>
    <t>Land &amp; Buildings - Gross</t>
  </si>
  <si>
    <t>Land/Improvements - Gross</t>
  </si>
  <si>
    <t>Buildings - Gross</t>
  </si>
  <si>
    <t>Plant, Machinery &amp; Equipment - Gross</t>
  </si>
  <si>
    <t>Computer Software &amp; Equipment - Gross</t>
  </si>
  <si>
    <t>Right of Use Tangible Assets - Total - Gross</t>
  </si>
  <si>
    <t>Right of Use Tangible Assets - Operating Lease - Gross</t>
  </si>
  <si>
    <t>Property, Plant &amp; Equipment - Accumulated Depreciation &amp; Impairment - Total</t>
  </si>
  <si>
    <t>Property, Plant &amp; Equipment - excluding Assets Leased Out - Accumulated Depreciation &amp; Impairment - Total</t>
  </si>
  <si>
    <t>Assets Held for Sale/Discontinued Operations - Long-Term</t>
  </si>
  <si>
    <t>Other Non-Current Assets - Total</t>
  </si>
  <si>
    <t>Deferred Tax - Asset - Long-Term</t>
  </si>
  <si>
    <t>Other Non-Current Assets</t>
  </si>
  <si>
    <t>Intangible Assets - Total - Net</t>
  </si>
  <si>
    <t>Goodwill/Cost in Excess of Assets Purchased - Net</t>
  </si>
  <si>
    <t>Intangible Assets - excluding Goodwill - Net - Total</t>
  </si>
  <si>
    <t>Licenses, Franchises, Copyrights, Property Rights, Prototypes, Contract Based, Models &amp; Designs - Net</t>
  </si>
  <si>
    <t>Intangible Assets - Other - Net</t>
  </si>
  <si>
    <t>Intangible Assets - Gross - Total</t>
  </si>
  <si>
    <t>Goodwill/Cost in Excess of Assets Purchased - Gross</t>
  </si>
  <si>
    <t>Intangible Assets - excluding Goodwill - Gross</t>
  </si>
  <si>
    <t>Licenses, Franchises, Copyrights, Property Rights, Prototypes, Contract Based, Models &amp; Designs - Gross</t>
  </si>
  <si>
    <t>Intangible Assets - Other - Gross - Total</t>
  </si>
  <si>
    <t>Intangible Assets - Accumulated Amortization &amp; Impairment - Total</t>
  </si>
  <si>
    <t>Goodwill - Accumulated Amortization &amp; Impairment</t>
  </si>
  <si>
    <t>Intangible Assets - excluding Goodwill - Accumulated Amortization &amp; Impairment - Total</t>
  </si>
  <si>
    <t>Intangible Assets - Other - Accumulated Amortization &amp; Impairment</t>
  </si>
  <si>
    <t>Total Non-Current Assets</t>
  </si>
  <si>
    <t>Total Assets</t>
  </si>
  <si>
    <t>Current Liabilities</t>
  </si>
  <si>
    <t>Trade Accounts Payable &amp; Accruals - Short-Term</t>
  </si>
  <si>
    <t>Trade Accounts &amp; Trade Notes Payable - Short-Term</t>
  </si>
  <si>
    <t>Accrued Expenses - Short-Term</t>
  </si>
  <si>
    <t>Short-Term Debt &amp; Current Portion of Long-Term Debt</t>
  </si>
  <si>
    <t>Current Portion of Long-Term Debt including Capitalized Leases</t>
  </si>
  <si>
    <t>Current Portion of Long-Term Debt excluding Capitalized Leases</t>
  </si>
  <si>
    <t>Capitalized Leases - Current Portion</t>
  </si>
  <si>
    <t>Liabilities Held for Sale/Discontinued Operations - Short-Term</t>
  </si>
  <si>
    <t>Income Taxes - Payable - Short-Term</t>
  </si>
  <si>
    <t>Operating Lease Liabilities - Current Portion/Short-Term</t>
  </si>
  <si>
    <t>Other Current Liabilities - Total</t>
  </si>
  <si>
    <t>Deferred Income - Short-Term</t>
  </si>
  <si>
    <t>Customer Advances - Short-Term</t>
  </si>
  <si>
    <t>Other Current Liabilities</t>
  </si>
  <si>
    <t>Total Current Liabilities</t>
  </si>
  <si>
    <t>Non-Current Liabilities</t>
  </si>
  <si>
    <t>Debt - Long-Term - Total</t>
  </si>
  <si>
    <t>Long-Term Debt excluding Capitalized Leases</t>
  </si>
  <si>
    <t>Debt - Non-Convertible - Long-Term</t>
  </si>
  <si>
    <t>Capitalized Lease Obligations - Long-Term</t>
  </si>
  <si>
    <t>Liabilities Held for Sale/Discontinued Operations - Long-Term</t>
  </si>
  <si>
    <t>Deferred Tax &amp; Investment Tax Credits - Long-Term</t>
  </si>
  <si>
    <t>Deferred Tax - Liability - Long-Term</t>
  </si>
  <si>
    <t>Operating Lease Liabilities - Long-Term</t>
  </si>
  <si>
    <t>Other Non-Current Liabilities - Total</t>
  </si>
  <si>
    <t>Provisions - Long-Term</t>
  </si>
  <si>
    <t>Post Employment Benefits - Pension &amp; Other - Long-Term</t>
  </si>
  <si>
    <t>Deferred Revenue - Long-Term</t>
  </si>
  <si>
    <t>Other Non-Current Liabilities</t>
  </si>
  <si>
    <t>Total Non-Current Liabilities</t>
  </si>
  <si>
    <t>Total Liabilities</t>
  </si>
  <si>
    <t>Shareholders' Equity</t>
  </si>
  <si>
    <t>Shareholders' Equity - Attributable to Parent Shareholders - Total</t>
  </si>
  <si>
    <t>Preferred Shareholders Equity</t>
  </si>
  <si>
    <t>Preferred Stock - Non-Redeemable</t>
  </si>
  <si>
    <t>Common Equity Attributable to Parent Shareholders</t>
  </si>
  <si>
    <t>Common Equity - Contributed</t>
  </si>
  <si>
    <t>Common Stock - Issued &amp; Paid</t>
  </si>
  <si>
    <t>Common Stock - Additional Paid in Capital including Option Reserve</t>
  </si>
  <si>
    <t>Equity - Non-Contributed - Reserves &amp; Retained Earnings</t>
  </si>
  <si>
    <t>Retained Earnings - Total</t>
  </si>
  <si>
    <t>Comprehensive Income - Accumulated - Total</t>
  </si>
  <si>
    <t>Investments - Unrealized Gain/Loss</t>
  </si>
  <si>
    <t>Comprehensive Income - Pension Liabilities</t>
  </si>
  <si>
    <t>Comprehensive Income - Other - Total</t>
  </si>
  <si>
    <t>Common Equity - Total</t>
  </si>
  <si>
    <t>Minority Interest - Equity</t>
  </si>
  <si>
    <t>Total Shareholders' Equity</t>
  </si>
  <si>
    <t>Total Shareholders' Equity - including Minority Interest &amp; Hybrid Debt</t>
  </si>
  <si>
    <t>Total Liabilities &amp; Shareholders' Equity</t>
  </si>
  <si>
    <t>Total Liabilities &amp; Equity</t>
  </si>
  <si>
    <t>Share/Per Share - Common</t>
  </si>
  <si>
    <t>Common Shares - Issued - Total</t>
  </si>
  <si>
    <t>Common Shares - Outstanding - Total</t>
  </si>
  <si>
    <t>Common Shares - Treasury - Total</t>
  </si>
  <si>
    <t>Common Shares - Authorized - Issue Specific</t>
  </si>
  <si>
    <t>Common Shares - Issued - Issue Specific</t>
  </si>
  <si>
    <t>Common Shares - Outstanding - Issue Specific</t>
  </si>
  <si>
    <t>Common Shares - Treasury - Issue Specific</t>
  </si>
  <si>
    <t>Share/Per Share - Preferred</t>
  </si>
  <si>
    <t>Preferred Shares - Authorized - Issue Specific</t>
  </si>
  <si>
    <t>Preferred Shares - Issued - Issue Specific</t>
  </si>
  <si>
    <t>Preferred Shares - Outstanding - Issue Specific</t>
  </si>
  <si>
    <t>Preferred Shares - Treasury - Issue Specific</t>
  </si>
  <si>
    <t>Share/Per Share - Other</t>
  </si>
  <si>
    <t>Asset Allocation Factor - Issue Specific</t>
  </si>
  <si>
    <t>Right of Use Tangible Assets</t>
  </si>
  <si>
    <t>Right of Use Tangible Assets - Total - Net - Supplemental</t>
  </si>
  <si>
    <t>Right of Use Tangible Assets - Operating Lease - Net - Supplemental</t>
  </si>
  <si>
    <t>Right of Use Tangible Assets - Capital/Finance Lease - Net - Supplemental</t>
  </si>
  <si>
    <t>Property, Plant &amp; Equipment - excluding Right of Use Tangible Assets &amp; Capital Leases - Net</t>
  </si>
  <si>
    <t>Right of Use Liabilities</t>
  </si>
  <si>
    <t>Total Operating Lease Liabilities</t>
  </si>
  <si>
    <t>Operating Lease Liabilities - Current Portion/Short-Term - Supplemental</t>
  </si>
  <si>
    <t>Operating Lease Liabilities - Long-Term - Supplemental</t>
  </si>
  <si>
    <t>Finance and Operating Lease Liabilities - Total</t>
  </si>
  <si>
    <t>Debt including Finance and Operating Lease Liabilities</t>
  </si>
  <si>
    <t>Long-Term &amp; Short-Term</t>
  </si>
  <si>
    <t>Investments - Total</t>
  </si>
  <si>
    <t>Loans &amp; Receivables - Total</t>
  </si>
  <si>
    <t>Accounts &amp; Notes Receivable - Trade - Gross - Total</t>
  </si>
  <si>
    <t>Assets Held for Sale/Discontinued Operations - Long-Term &amp; Short-Term</t>
  </si>
  <si>
    <t>Other Assets - Total</t>
  </si>
  <si>
    <t>Income Taxes - Payable - Long-Term &amp; Short-Term</t>
  </si>
  <si>
    <t>Payables &amp; Accrued Expenses</t>
  </si>
  <si>
    <t>Trade Account Payables - Total</t>
  </si>
  <si>
    <t>Accrued Expenses</t>
  </si>
  <si>
    <t>Liabilities Held for Sale/Discontinued Operations - Long-term &amp; Short-Term</t>
  </si>
  <si>
    <t>Debt Related</t>
  </si>
  <si>
    <t>Net Debt</t>
  </si>
  <si>
    <t>Debt - Total</t>
  </si>
  <si>
    <t>Revolving Line of Credit - Outstanding - Supplemental</t>
  </si>
  <si>
    <t>Revolving Line of Credit - Total Principal Amount</t>
  </si>
  <si>
    <t>Debt Maturity</t>
  </si>
  <si>
    <t>Debt - Long-Term - Maturities - Total</t>
  </si>
  <si>
    <t>Debt - Long-Term - Maturities - within 1 Year</t>
  </si>
  <si>
    <t>Debt - Long-Term - Maturities - Year 3</t>
  </si>
  <si>
    <t>Debt - Long-Term - Maturities - Year 5</t>
  </si>
  <si>
    <t>Debt - Long-Term - Maturities - Remaining</t>
  </si>
  <si>
    <t>Debt - Long-Term - Maturities - 2-3 Years</t>
  </si>
  <si>
    <t>Debt - Long-Term - Maturities - 4-5 Years</t>
  </si>
  <si>
    <t>Debt - Long-Term - Maturities - Year 6 &amp; Beyond</t>
  </si>
  <si>
    <t>Capital Lease Maturity</t>
  </si>
  <si>
    <t>Capital Lease Maturities - Total</t>
  </si>
  <si>
    <t>Capital Lease Maturities - Due within 1 Year</t>
  </si>
  <si>
    <t>Capital Lease Maturities - Due in Year 2</t>
  </si>
  <si>
    <t>Capital Lease Maturities - Due in Year 3</t>
  </si>
  <si>
    <t>Capital Lease Maturities - Due in Year 4</t>
  </si>
  <si>
    <t>Capital Lease Maturities - Due in Year 5</t>
  </si>
  <si>
    <t>Capital Lease Maturities - Remaining Maturities</t>
  </si>
  <si>
    <t>Capital Lease Maturities - Interest Costs</t>
  </si>
  <si>
    <t>Capital Lease Maturities - Due in 2-3 Years</t>
  </si>
  <si>
    <t>Capital Lease Maturities - Due in 4-5 Years</t>
  </si>
  <si>
    <t>Capital Lease Maturities - Due in Year 6 &amp; Beyond</t>
  </si>
  <si>
    <t>Weighted Average Leases</t>
  </si>
  <si>
    <t>Wgt Avg Remaining Lease Term (Years)-Operating Lease-US GAAP</t>
  </si>
  <si>
    <t>Wgt Avg Remaining Lease Term (Years) - Finance Lease</t>
  </si>
  <si>
    <t>Weighted Average Discount Rate - Operating Lease - US GAAP</t>
  </si>
  <si>
    <t>Weighted Average Discount Rate - Finance Lease</t>
  </si>
  <si>
    <t>Contract Liabilities - Short-Term - Advance Consideration &amp; Progress Billings in Excess of Unbilled Revenue</t>
  </si>
  <si>
    <t>Minority Interest - Total</t>
  </si>
  <si>
    <t>Accruals - Short-Term</t>
  </si>
  <si>
    <t>Asset Accruals</t>
  </si>
  <si>
    <t>Cash &amp; Cash Equivalents - Total</t>
  </si>
  <si>
    <t>Cash &amp; Short Term Investments - Total</t>
  </si>
  <si>
    <t>Debt - including Preferred Equity &amp; Minority Interest - Total</t>
  </si>
  <si>
    <t>Investments - Permanent</t>
  </si>
  <si>
    <t>Net Book Capital</t>
  </si>
  <si>
    <t>Net Operating Assets</t>
  </si>
  <si>
    <t>Provisions - Total</t>
  </si>
  <si>
    <t>Shareholders Equity - Common</t>
  </si>
  <si>
    <t>Tangible Total Equity</t>
  </si>
  <si>
    <t>Tangible Book Value</t>
  </si>
  <si>
    <t>Total Book Capital</t>
  </si>
  <si>
    <t>Total Capital</t>
  </si>
  <si>
    <t>Total Long Term Capital</t>
  </si>
  <si>
    <t>Total Fixed Assets - Net</t>
  </si>
  <si>
    <t>Unearned Revenue - Total</t>
  </si>
  <si>
    <t>Working Capital</t>
  </si>
  <si>
    <t>Working Capital - Non-Cash</t>
  </si>
  <si>
    <t>Working Capital excluding Other Current Assets &amp; Liabilities</t>
  </si>
  <si>
    <t>Book Value excluding Other Equity</t>
  </si>
  <si>
    <t>Shareholders</t>
  </si>
  <si>
    <t>Common Shareholders - Number</t>
  </si>
  <si>
    <t>Operating Lease Maturity</t>
  </si>
  <si>
    <t>Operating Lease Payments - Total</t>
  </si>
  <si>
    <t>Operating Lease Payments - Due in Year 1</t>
  </si>
  <si>
    <t>Operating Lease Payments - Due in Year 2</t>
  </si>
  <si>
    <t>Operating Lease Payments - Due in Year 3</t>
  </si>
  <si>
    <t>Operating Lease Payments - Due in Year 4</t>
  </si>
  <si>
    <t>Operating Lease Payments - Due in Year 5</t>
  </si>
  <si>
    <t>Operating Lease Payments - Remaining Maturities</t>
  </si>
  <si>
    <t>Operating Lease Payments - Interest Cost/Imputed Interest</t>
  </si>
  <si>
    <t>Operating Lease Payments - Due in 2-3 Years</t>
  </si>
  <si>
    <t>Operating Lease Payments - Due in 4-5 Years</t>
  </si>
  <si>
    <t>Operating Lease Payments - Due in Year 6 &amp; Beyond</t>
  </si>
  <si>
    <t>Risk Related</t>
  </si>
  <si>
    <t>Level 1 Assets - Fair Value</t>
  </si>
  <si>
    <t>Level 3 Assets - Fair Value</t>
  </si>
  <si>
    <t>Level 2 Liabilities - Fair Value</t>
  </si>
  <si>
    <t>Employees</t>
  </si>
  <si>
    <t>Employees - Full-Time/Full-Time Equivalents - Period End</t>
  </si>
  <si>
    <t>Employees - Full-Time/Full-Time Equivalents - Current Date</t>
  </si>
  <si>
    <t>Company Fundamentals - Cash Flow</t>
  </si>
  <si>
    <t>Industrial - Indirect</t>
  </si>
  <si>
    <t>Cash Flow - Standardized (Currency: Standardized)</t>
  </si>
  <si>
    <t>Operating Cash Flow - Indirect</t>
  </si>
  <si>
    <t>Profit/(Loss) - Starting Line - Cash Flow</t>
  </si>
  <si>
    <t>Non-cash Items &amp; Reconciliation Adjustments - Cash Flow</t>
  </si>
  <si>
    <t>Discontinued Operations - Gain/(Loss) - Net of Tax - Cash Flow - to Reconcile</t>
  </si>
  <si>
    <t>Equity Income/(Loss) in Net Earnings - Cash Flow - to Reconcile</t>
  </si>
  <si>
    <t>Other Non-Cash Items &amp; Reconciliation Adjustments - Cash Flow - to Reconcile</t>
  </si>
  <si>
    <t>Depreciation, Depletion &amp; Amortization including Impairment - Cash Flow - to Reconcile</t>
  </si>
  <si>
    <t>Depreciation &amp; Depletion - Property, Plant &amp; Equipment - Cash Flow - to Reconcile</t>
  </si>
  <si>
    <t>Impairment - Property, Plant &amp; Equipment including Intangible Assets - Cash Flow - to Reconcile</t>
  </si>
  <si>
    <t>Deferred Income Taxes &amp; Income Tax Credits - Cash Flow - to Reconcile</t>
  </si>
  <si>
    <t>Assets Sale - Gain/(Loss) - Cash Flow - to Reconcile</t>
  </si>
  <si>
    <t>Financial Assets - Unrealized Gain/(Loss) - Cash Flow - to Reconcile</t>
  </si>
  <si>
    <t>Share Based Payments - Cash Flow - to Reconcile</t>
  </si>
  <si>
    <t>Cash Flow from Operating Activities before Changes in Working Capital</t>
  </si>
  <si>
    <t>Working Capital - Increase/(Decrease) - Cash Flow</t>
  </si>
  <si>
    <t>Accounts Receivables - Decrease/(Increase) - Cash Flow</t>
  </si>
  <si>
    <t>Inventories - Decrease/(Increase) - Cash Flow</t>
  </si>
  <si>
    <t>Prepaid Expenses - Decrease/(Increase) - Cash Flow</t>
  </si>
  <si>
    <t>Other Assets - Decrease/(Increase) - Cash Flow</t>
  </si>
  <si>
    <t>Accounts Payable - Increase/(Decrease) - Cash Flow</t>
  </si>
  <si>
    <t>Accrued Expenses - Increase/(Decrease) - Cash Flow</t>
  </si>
  <si>
    <t>Other Liabilities - Increase/(Decrease) -Total - Cash Flow</t>
  </si>
  <si>
    <t>Other Assets &amp; Liabilities - Increase/(Decrease) - Net - Cash Flow</t>
  </si>
  <si>
    <t>Net Cash Flow from Operating Activities</t>
  </si>
  <si>
    <t>Investing Cash Flow</t>
  </si>
  <si>
    <t>Capital Expenditures - Net - Cash Flow</t>
  </si>
  <si>
    <t>Property, Plant &amp; Equipment - Purchased/(Sold) - Net - Cash Flow</t>
  </si>
  <si>
    <t>Property, Plant &amp; Equipment - Purchased - Cash Flow</t>
  </si>
  <si>
    <t>Property, Plant &amp; Equipment Sold - Cash Flow</t>
  </si>
  <si>
    <t>Intangible Assets - Purchased/(Sold) - Net - Total - Cash Flow</t>
  </si>
  <si>
    <t>Intangible Assets - Purchased/Acquired - Cash Flow</t>
  </si>
  <si>
    <t>Capital Expenditures - Total</t>
  </si>
  <si>
    <t>Acquisition &amp; Disposals of Business - Assets - Sold/(Acquired) - Net - Cash Flow</t>
  </si>
  <si>
    <t>Acquisition of Business - Cash Flow</t>
  </si>
  <si>
    <t>Business - Sold - Cash Flow</t>
  </si>
  <si>
    <t>Investments excluding Loans - Decrease/(Increase) - Cash Flow</t>
  </si>
  <si>
    <t>Investment Securities - Unclassified - Sold/(Purchased) - Net - Total - Cash Flow</t>
  </si>
  <si>
    <t>Investment Securities - Sold/Matured - Unclassified - Cash Flow</t>
  </si>
  <si>
    <t>Investment Securities - Purchased - Unclassified - Cash Flow</t>
  </si>
  <si>
    <t>Investments - Associated Companies &amp; Joint Ventures - Sold/(Purchased) - Cash Flow</t>
  </si>
  <si>
    <t>Other Investing Cash Flow - Decrease/(Increase)</t>
  </si>
  <si>
    <t>Net Cash Flow from Investing Activities</t>
  </si>
  <si>
    <t>Financing Cash Flow</t>
  </si>
  <si>
    <t>Dividends Paid - Cash - Total - Cash Flow</t>
  </si>
  <si>
    <t>Dividends - Common - Cash Paid</t>
  </si>
  <si>
    <t>Dividends - Preferred - Cash Paid</t>
  </si>
  <si>
    <t>Stock - Total - Issuance/(Retirement) - Net - Cash Flow</t>
  </si>
  <si>
    <t>Stock - Issuance/(Retirement) - Net - Excluding Options/Warrants - Cash Flow</t>
  </si>
  <si>
    <t>Stock - Common - Issuance/(Retirement) - Net - Cash Flow</t>
  </si>
  <si>
    <t>Stock - Common - Repurchased/Retired - Cash Flow</t>
  </si>
  <si>
    <t>Stock - Preferred - Issuance/(Retirement) - Net - Cash Flow</t>
  </si>
  <si>
    <t>Stock - Preferred - Issued/Sold - Cash Flow</t>
  </si>
  <si>
    <t>Options Exercised - Cash Flow</t>
  </si>
  <si>
    <t>Debt - Long-Term &amp; Short-Term - Issuance/(Retirement) - Total - Cash Flow</t>
  </si>
  <si>
    <t>Debt - Issued/(Reduced) - Long-Term - Cash Flow</t>
  </si>
  <si>
    <t>Debt - Issued - Long-Term - Cash Flow</t>
  </si>
  <si>
    <t>Debt - Reduced - Long-Term - Cash Flow</t>
  </si>
  <si>
    <t>Other Financing Cash Flow - Increase/(Decrease)</t>
  </si>
  <si>
    <t>Tax Payments or Benefits relating to Stock-based Compensation/Buyback/Withheld shares</t>
  </si>
  <si>
    <t>Net Cash Flow from Financing Activities</t>
  </si>
  <si>
    <t>Discontinued Cash Flow</t>
  </si>
  <si>
    <t>Net Cash Flow from Discontinued Operations - Operating Activities</t>
  </si>
  <si>
    <t>Net Cash Flow from Discontinued Operations - Investing Activities</t>
  </si>
  <si>
    <t>Net Cash Flow from Discontinued Operations - Financing Activities</t>
  </si>
  <si>
    <t>Net Cash Flow from Discontinued Operations - Total</t>
  </si>
  <si>
    <t>Foreign Exchange Effects</t>
  </si>
  <si>
    <t>Foreign Exchange Effects - Cash Flow</t>
  </si>
  <si>
    <t>Change in Cash</t>
  </si>
  <si>
    <t>Net Change in Cash - Total</t>
  </si>
  <si>
    <t>Net Cash from Continuing Operations</t>
  </si>
  <si>
    <t>Net Cash from Discontinued Operations</t>
  </si>
  <si>
    <t>Net Cash - Beginning Balance</t>
  </si>
  <si>
    <t>Net Cash - Ending Balance</t>
  </si>
  <si>
    <t>Supplemental</t>
  </si>
  <si>
    <t>Income Taxes - Paid/(Reimbursed) - Cash Flow - Supplemental</t>
  </si>
  <si>
    <t>Interest Paid - Cash Flow - Supplemental</t>
  </si>
  <si>
    <t>CF from Optg Activities before Change in WC &amp; Int Payments</t>
  </si>
  <si>
    <t>Cash Dividends Paid &amp; Common Stock Buyback - Net</t>
  </si>
  <si>
    <t>Common Stock Buyback - Net</t>
  </si>
  <si>
    <t>Depreciation, Depletion &amp; Amortization - Cash Flow</t>
  </si>
  <si>
    <t>Free Cash Flow to Equity</t>
  </si>
  <si>
    <t>Free Cash Flow Net of Dividends</t>
  </si>
  <si>
    <t>Free Cash Flow</t>
  </si>
  <si>
    <t>Dividends Provided/Paid - Common</t>
  </si>
  <si>
    <t>Company Fundamentals - Operating Metrics</t>
  </si>
  <si>
    <t>Measure system</t>
  </si>
  <si>
    <t>Metric</t>
  </si>
  <si>
    <t>Industrial</t>
  </si>
  <si>
    <t>Operating Metrics - Standardized (Currency: Standardized)</t>
  </si>
  <si>
    <t>Revenues, Costs &amp; Other Measures</t>
  </si>
  <si>
    <t>Advertisement Revenue - Total</t>
  </si>
  <si>
    <t>Users &amp; Payers</t>
  </si>
  <si>
    <t>Number of Subscribers - Media - Total</t>
  </si>
  <si>
    <t>Company Fundamentals - Financial Summary</t>
  </si>
  <si>
    <t>Financial Summary - Standardized (Currency: Standardized)</t>
  </si>
  <si>
    <t>Selected Income Statement Items</t>
  </si>
  <si>
    <t>Selected Balance Sheet Items</t>
  </si>
  <si>
    <t>Selected Cash Flow Items</t>
  </si>
  <si>
    <t>Selected Per Share Data</t>
  </si>
  <si>
    <t>Dividend Yield - Common Stock - Gross - Issue Specific - %</t>
  </si>
  <si>
    <t>Dividend Yield - Common Stock - Net - Issue Specific - %</t>
  </si>
  <si>
    <t>Profitability / Return</t>
  </si>
  <si>
    <t>Gross Profit Margin - %</t>
  </si>
  <si>
    <t>EBITDA Margin - %</t>
  </si>
  <si>
    <t>Operating Margin - %</t>
  </si>
  <si>
    <t>Income before Tax Margin - %</t>
  </si>
  <si>
    <t>Income Tax Rate - %</t>
  </si>
  <si>
    <t>Net Margin - %</t>
  </si>
  <si>
    <t>Return on Average Common Equity - % (Income available to Common excluding Extraordinary Items)</t>
  </si>
  <si>
    <t>Return on Average Total Assets - % (Income before Discontinued Operations &amp; Extraordinary Items)</t>
  </si>
  <si>
    <t>Return on Invested Capital - %</t>
  </si>
  <si>
    <t>Growth</t>
  </si>
  <si>
    <t>Financial Strength / Leverage</t>
  </si>
  <si>
    <t>Total Debt Percentage of Total Assets</t>
  </si>
  <si>
    <t>Total Debt Percentage of Total Capital</t>
  </si>
  <si>
    <t>Total Debt Percentage of Total Equity</t>
  </si>
  <si>
    <t>Debt Service</t>
  </si>
  <si>
    <t>Debt Service Percentage of Normalized after Tax Profit</t>
  </si>
  <si>
    <t>Interest Coverage Ratio</t>
  </si>
  <si>
    <t>Dividend Coverage - %</t>
  </si>
  <si>
    <t>Earnings Retention Rate</t>
  </si>
  <si>
    <t>Dividend Payout Ratio - %</t>
  </si>
  <si>
    <t>Enterprise Value Breakdown</t>
  </si>
  <si>
    <t>Market Capitalization</t>
  </si>
  <si>
    <t>Enterprise Value</t>
  </si>
  <si>
    <t>Dupont / Earning Power</t>
  </si>
  <si>
    <t>Asset Turnover</t>
  </si>
  <si>
    <t>Pretax ROA - %</t>
  </si>
  <si>
    <t>Total Assets to Total Shareholders Equity - including Minority Interest &amp; Hybrid Debt</t>
  </si>
  <si>
    <t>Pretax ROE - %</t>
  </si>
  <si>
    <t>Tax Complement</t>
  </si>
  <si>
    <t>Reinvestment Rate - %</t>
  </si>
  <si>
    <t>Productivity</t>
  </si>
  <si>
    <t>Net Income after Tax per Employee</t>
  </si>
  <si>
    <t>Sales per Employee</t>
  </si>
  <si>
    <t>Total Assets per Employee</t>
  </si>
  <si>
    <t>Liquidity</t>
  </si>
  <si>
    <t>Current Ratio</t>
  </si>
  <si>
    <t>Quick Ratio</t>
  </si>
  <si>
    <t>Working Capital to Total Assets</t>
  </si>
  <si>
    <t>Operating</t>
  </si>
  <si>
    <t>Accounts Receivable Turnover</t>
  </si>
  <si>
    <t>Average Receivables Collection Days</t>
  </si>
  <si>
    <t>Payables Turnover</t>
  </si>
  <si>
    <t>Average Payables Payment Days</t>
  </si>
  <si>
    <t>Inventory Turnover</t>
  </si>
  <si>
    <t>Average Inventory Days</t>
  </si>
  <si>
    <t>Average Net Trade Cycle Days</t>
  </si>
  <si>
    <t>CAGR(2014-2017)</t>
  </si>
  <si>
    <t>Year</t>
  </si>
  <si>
    <t>Revenue</t>
  </si>
  <si>
    <t>DCF Analysis</t>
  </si>
  <si>
    <t>2018E</t>
  </si>
  <si>
    <t>2019E</t>
  </si>
  <si>
    <t>2020E</t>
  </si>
  <si>
    <t>2021E</t>
  </si>
  <si>
    <t>2022E</t>
  </si>
  <si>
    <t>2023E</t>
  </si>
  <si>
    <t>2024E</t>
  </si>
  <si>
    <t>2025E</t>
  </si>
  <si>
    <t>Assumed Growth Rate</t>
  </si>
  <si>
    <t>EBIT</t>
  </si>
  <si>
    <t>Cost of Revenue</t>
  </si>
  <si>
    <t>Other Op Exp</t>
  </si>
  <si>
    <t>CoR % of Revenue</t>
  </si>
  <si>
    <t>Op Exp % of Revenue</t>
  </si>
  <si>
    <t>EBIT Margin %</t>
  </si>
  <si>
    <t>Depreciation and Ammortization</t>
  </si>
  <si>
    <t>D&amp;A % of Revenue</t>
  </si>
  <si>
    <t>CapEx</t>
  </si>
  <si>
    <t>Capex % of Revenue</t>
  </si>
  <si>
    <t>NWC</t>
  </si>
  <si>
    <t>ΔNWC</t>
  </si>
  <si>
    <t>ΔNWC % of Revenue</t>
  </si>
  <si>
    <t>Avg ΔNWC as % of Revenue</t>
  </si>
  <si>
    <t>FCFF</t>
  </si>
  <si>
    <t>WACC</t>
  </si>
  <si>
    <t>g</t>
  </si>
  <si>
    <t>Aswath Damodaran – NYU Stern 2023 WACC Estimates</t>
  </si>
  <si>
    <t>ValueInvesting.io – Discovery WACC Breakdown</t>
  </si>
  <si>
    <t>Terminal Value</t>
  </si>
  <si>
    <t>PV of FCFF</t>
  </si>
  <si>
    <t>Discount Factor</t>
  </si>
  <si>
    <t>Total Debt</t>
  </si>
  <si>
    <t>Equity Value</t>
  </si>
  <si>
    <t>Shares Outstanding</t>
  </si>
  <si>
    <t>Equity Value Per Share</t>
  </si>
  <si>
    <t>Sensitivity Analysis</t>
  </si>
  <si>
    <t>Annual Synergies</t>
  </si>
  <si>
    <t>Base EV</t>
  </si>
  <si>
    <t>Tax Rate</t>
  </si>
  <si>
    <t>PV of Terminal Value</t>
  </si>
  <si>
    <t>Deal Value</t>
  </si>
  <si>
    <t>Free Cashflow to the Firm (FCFF)</t>
  </si>
  <si>
    <t>EBIT*(1-Tax Rate)</t>
  </si>
  <si>
    <t>[+] Depreciation</t>
  </si>
  <si>
    <t>[-] Changes in Working Capital</t>
  </si>
  <si>
    <t>[-] Capex</t>
  </si>
  <si>
    <t>Free Cash Flow To The Firm (FCFF)</t>
  </si>
  <si>
    <t>Although Scripps grew at a 21% CAGR from 2014 to 2017, structural industry changes such as cord-cutting, digital disruption, and advertising migration led analysts to project low-to-mid single-digit growth for traditional networks. (PwC Global E&amp;M Outlook 2017–2021; Scripps 10-K 2016). Therefore, we apply a conservative but fair 8% annual revenue growth in our forecast.</t>
  </si>
  <si>
    <t>WACC Calulation</t>
  </si>
  <si>
    <t>Rf</t>
  </si>
  <si>
    <t>Rm-Rf</t>
  </si>
  <si>
    <t>Beta</t>
  </si>
  <si>
    <t>Re</t>
  </si>
  <si>
    <t>Rd</t>
  </si>
  <si>
    <t>Tc</t>
  </si>
  <si>
    <t>E</t>
  </si>
  <si>
    <t>D</t>
  </si>
  <si>
    <t>V</t>
  </si>
  <si>
    <t>Damodaran (NYU Stern Professor) publishes annual estimates, For U.S. in 2024/2025: ~5.5% Source: NYU Stern ERPs</t>
  </si>
  <si>
    <t>10 Year Treasury</t>
  </si>
  <si>
    <t>The beta of 0.74 used in this analysis is consistent with publicly available data from Reuters, representing the stock’s historical volatility relative to the market prior to its acquisition by Discovery.</t>
  </si>
  <si>
    <t>After Tax Rd</t>
  </si>
  <si>
    <t>E/V</t>
  </si>
  <si>
    <t>D/V</t>
  </si>
  <si>
    <t>Price Per Share (pre merger)</t>
  </si>
  <si>
    <t>Outstanding Shares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</si>
</sst>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dd\-mm\-yyyy"/>
    <numFmt numFmtId="165" formatCode="#,##0.0"/>
    <numFmt numFmtId="166" formatCode="[&gt;=100]##,##0.0\%;[&lt;=-100]\-##,##0.0\%;##,##0.0\%"/>
    <numFmt numFmtId="167" formatCode="[$$-409]#,##0.00"/>
    <numFmt numFmtId="168" formatCode="#,##0;\(#,##0\);\-;@"/>
    <numFmt numFmtId="169" formatCode="_(* #,##0.00_);_(* \(#,##0.00\);_(* &quot;-&quot;??_);_(@_)"/>
    <numFmt numFmtId="170" formatCode="#,##0.00;\(#,##0.00\);\-;@"/>
  </numFmts>
  <fonts count="18" x14ac:knownFonts="1">
    <font>
      <sz val="11"/>
      <color rgb="FF000000"/>
      <name val="Calibri"/>
      <family val="2"/>
    </font>
    <font>
      <sz val="11"/>
      <color theme="1"/>
      <name val="Calibri"/>
      <family val="2"/>
      <scheme val="minor"/>
    </font>
    <font>
      <b/>
      <sz val="10"/>
      <color rgb="FFFFFFFF"/>
      <name val="Calibri"/>
      <family val="2"/>
    </font>
    <font>
      <sz val="10"/>
      <color rgb="FFFFFFFF"/>
      <name val="Calibri"/>
      <family val="2"/>
    </font>
    <font>
      <sz val="10"/>
      <color rgb="FF000000"/>
      <name val="Calibri"/>
      <family val="2"/>
    </font>
    <font>
      <b/>
      <sz val="10"/>
      <color rgb="FF334BFF"/>
      <name val="Calibri"/>
      <family val="2"/>
    </font>
    <font>
      <b/>
      <sz val="10"/>
      <color rgb="FF000000"/>
      <name val="Calibri"/>
      <family val="2"/>
    </font>
    <font>
      <sz val="10"/>
      <color rgb="FF000000"/>
      <name val="Calibri"/>
      <family val="2"/>
    </font>
    <font>
      <b/>
      <sz val="10"/>
      <color rgb="FF000000"/>
      <name val="Calibri"/>
      <family val="2"/>
    </font>
    <font>
      <b/>
      <sz val="10"/>
      <color rgb="FFF5475B"/>
      <name val="Calibri"/>
      <family val="2"/>
    </font>
    <font>
      <sz val="10"/>
      <color rgb="FFF5475B"/>
      <name val="Calibri"/>
      <family val="2"/>
    </font>
    <font>
      <sz val="11"/>
      <color rgb="FF000000"/>
      <name val="Calibri"/>
      <family val="2"/>
    </font>
    <font>
      <sz val="11"/>
      <color rgb="FF000000"/>
      <name val="Arial"/>
      <family val="2"/>
    </font>
    <font>
      <b/>
      <sz val="11"/>
      <color rgb="FF000000"/>
      <name val="Arial"/>
      <family val="2"/>
    </font>
    <font>
      <u/>
      <sz val="11"/>
      <color theme="10"/>
      <name val="Calibri"/>
      <family val="2"/>
    </font>
    <font>
      <u/>
      <sz val="11"/>
      <color theme="10"/>
      <name val="Arial"/>
      <family val="2"/>
    </font>
    <font>
      <b/>
      <sz val="11"/>
      <name val="Calibri"/>
      <family val="2"/>
      <scheme val="minor"/>
    </font>
    <font>
      <sz val="11"/>
      <name val="Calibri"/>
      <family val="2"/>
      <scheme val="minor"/>
    </font>
  </fonts>
  <fills count="9">
    <fill>
      <patternFill patternType="none"/>
    </fill>
    <fill>
      <patternFill patternType="gray125"/>
    </fill>
    <fill>
      <patternFill patternType="solid">
        <fgColor rgb="FF334BFF"/>
        <bgColor rgb="FF334BFF"/>
      </patternFill>
    </fill>
    <fill>
      <patternFill patternType="solid">
        <fgColor rgb="FFD5D8DB"/>
        <bgColor rgb="FFD5D8DB"/>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4" tint="0.39997558519241921"/>
        <bgColor indexed="64"/>
      </patternFill>
    </fill>
  </fills>
  <borders count="5">
    <border>
      <left/>
      <right/>
      <top/>
      <bottom/>
      <diagonal/>
    </border>
    <border>
      <left/>
      <right/>
      <top/>
      <bottom style="thick">
        <color rgb="FF334BFF"/>
      </bottom>
      <diagonal/>
    </border>
    <border>
      <left style="thin">
        <color rgb="FF334BFF"/>
      </left>
      <right style="thin">
        <color rgb="FF334BFF"/>
      </right>
      <top style="thin">
        <color rgb="FF334BFF"/>
      </top>
      <bottom style="thin">
        <color rgb="FF334BFF"/>
      </bottom>
      <diagonal/>
    </border>
    <border>
      <left style="thin">
        <color rgb="FFD5D8DB"/>
      </left>
      <right style="thin">
        <color rgb="FFD5D8DB"/>
      </right>
      <top style="thin">
        <color rgb="FFD5D8DB"/>
      </top>
      <bottom style="thin">
        <color rgb="FFD5D8DB"/>
      </bottom>
      <diagonal/>
    </border>
    <border>
      <left/>
      <right/>
      <top style="thin">
        <color indexed="64"/>
      </top>
      <bottom style="thin">
        <color indexed="64"/>
      </bottom>
      <diagonal/>
    </border>
  </borders>
  <cellStyleXfs count="6">
    <xf numFmtId="0" fontId="0" fillId="0" borderId="0" applyNumberFormat="0" applyBorder="0" applyAlignment="0"/>
    <xf numFmtId="9" fontId="11" fillId="0" borderId="0" applyFont="0" applyFill="0" applyBorder="0" applyAlignment="0" applyProtection="0"/>
    <xf numFmtId="0" fontId="14" fillId="0" borderId="0" applyNumberFormat="0" applyFill="0" applyBorder="0" applyAlignment="0" applyProtection="0"/>
    <xf numFmtId="43" fontId="11" fillId="0" borderId="0" applyFont="0" applyFill="0" applyBorder="0" applyAlignment="0" applyProtection="0"/>
    <xf numFmtId="0" fontId="11" fillId="0" borderId="0" applyNumberFormat="0" applyBorder="0" applyAlignment="0"/>
    <xf numFmtId="169" fontId="1" fillId="0" borderId="0" applyFont="0" applyFill="0" applyBorder="0" applyAlignment="0" applyProtection="0"/>
  </cellStyleXfs>
  <cellXfs count="81">
    <xf numFmtId="0" fontId="0" fillId="0" borderId="0" xfId="0"/>
    <xf numFmtId="0" fontId="2" fillId="2" borderId="1" xfId="0" applyFont="1" applyFill="1" applyBorder="1"/>
    <xf numFmtId="0" fontId="3" fillId="2" borderId="1" xfId="0" applyFont="1" applyFill="1" applyBorder="1"/>
    <xf numFmtId="0" fontId="4" fillId="0" borderId="0" xfId="0" applyFont="1"/>
    <xf numFmtId="0" fontId="5" fillId="0" borderId="0" xfId="0" applyFont="1"/>
    <xf numFmtId="164" fontId="4" fillId="0" borderId="0" xfId="0" applyNumberFormat="1" applyFont="1" applyAlignment="1">
      <alignment horizontal="left"/>
    </xf>
    <xf numFmtId="0" fontId="3" fillId="2" borderId="2" xfId="0" applyFont="1" applyFill="1" applyBorder="1"/>
    <xf numFmtId="0" fontId="4" fillId="0" borderId="3" xfId="0" applyFont="1" applyBorder="1" applyAlignment="1">
      <alignment horizontal="left" vertical="center"/>
    </xf>
    <xf numFmtId="0" fontId="3" fillId="2" borderId="2" xfId="0" applyFont="1" applyFill="1" applyBorder="1" applyAlignment="1">
      <alignment wrapText="1"/>
    </xf>
    <xf numFmtId="0" fontId="3" fillId="2"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0" fontId="0" fillId="3" borderId="3" xfId="0" applyFill="1" applyBorder="1" applyAlignment="1">
      <alignment wrapText="1"/>
    </xf>
    <xf numFmtId="0" fontId="4" fillId="0" borderId="3" xfId="0" applyFont="1" applyBorder="1" applyAlignment="1">
      <alignment vertical="center" wrapText="1"/>
    </xf>
    <xf numFmtId="165" fontId="7" fillId="0" borderId="3" xfId="0" applyNumberFormat="1" applyFont="1" applyBorder="1" applyAlignment="1">
      <alignment horizontal="right" vertical="center" wrapText="1"/>
    </xf>
    <xf numFmtId="0" fontId="4" fillId="0" borderId="3" xfId="0" applyFont="1" applyBorder="1" applyAlignment="1">
      <alignment horizontal="left" vertical="center" wrapText="1" indent="2"/>
    </xf>
    <xf numFmtId="4" fontId="7" fillId="0" borderId="3" xfId="0" applyNumberFormat="1" applyFont="1" applyBorder="1" applyAlignment="1">
      <alignment horizontal="right" vertical="center" wrapText="1"/>
    </xf>
    <xf numFmtId="0" fontId="6" fillId="0" borderId="3" xfId="0" applyFont="1" applyBorder="1" applyAlignment="1">
      <alignment vertical="center" wrapText="1"/>
    </xf>
    <xf numFmtId="165" fontId="8" fillId="0" borderId="3" xfId="0" applyNumberFormat="1" applyFont="1" applyBorder="1" applyAlignment="1">
      <alignment horizontal="right" vertical="center" wrapText="1"/>
    </xf>
    <xf numFmtId="0" fontId="4" fillId="0" borderId="3" xfId="0" applyFont="1" applyBorder="1" applyAlignment="1">
      <alignment horizontal="left" vertical="center" wrapText="1" indent="4"/>
    </xf>
    <xf numFmtId="3" fontId="7" fillId="0" borderId="3" xfId="0" applyNumberFormat="1" applyFont="1" applyBorder="1" applyAlignment="1">
      <alignment horizontal="right" vertical="center" wrapText="1"/>
    </xf>
    <xf numFmtId="4" fontId="8" fillId="0" borderId="3" xfId="0" applyNumberFormat="1" applyFont="1" applyBorder="1" applyAlignment="1">
      <alignment horizontal="right" vertical="center" wrapText="1"/>
    </xf>
    <xf numFmtId="4" fontId="9" fillId="0" borderId="3" xfId="0" applyNumberFormat="1" applyFont="1" applyBorder="1" applyAlignment="1">
      <alignment horizontal="right" vertical="center" wrapText="1"/>
    </xf>
    <xf numFmtId="165" fontId="10" fillId="0" borderId="3" xfId="0" applyNumberFormat="1" applyFont="1" applyBorder="1" applyAlignment="1">
      <alignment horizontal="right" vertical="center" wrapText="1"/>
    </xf>
    <xf numFmtId="4" fontId="10" fillId="0" borderId="3" xfId="0" applyNumberFormat="1" applyFont="1" applyBorder="1" applyAlignment="1">
      <alignment horizontal="right" vertical="center" wrapText="1"/>
    </xf>
    <xf numFmtId="165" fontId="9" fillId="0" borderId="3" xfId="0" applyNumberFormat="1" applyFont="1" applyBorder="1" applyAlignment="1">
      <alignment horizontal="right" vertical="center" wrapText="1"/>
    </xf>
    <xf numFmtId="3" fontId="10" fillId="0" borderId="3" xfId="0" applyNumberFormat="1" applyFont="1" applyBorder="1" applyAlignment="1">
      <alignment horizontal="right" vertical="center" wrapText="1"/>
    </xf>
    <xf numFmtId="0" fontId="4" fillId="0" borderId="3" xfId="0" applyFont="1" applyBorder="1" applyAlignment="1">
      <alignment horizontal="left" vertical="center" wrapText="1" indent="6"/>
    </xf>
    <xf numFmtId="0" fontId="4" fillId="0" borderId="3" xfId="0" applyFont="1" applyBorder="1" applyAlignment="1">
      <alignment horizontal="left" vertical="center" wrapText="1" indent="8"/>
    </xf>
    <xf numFmtId="166" fontId="7" fillId="0" borderId="3" xfId="0" applyNumberFormat="1" applyFont="1" applyBorder="1" applyAlignment="1">
      <alignment horizontal="right" vertical="center" wrapText="1"/>
    </xf>
    <xf numFmtId="3" fontId="8" fillId="0" borderId="3" xfId="0" applyNumberFormat="1" applyFont="1" applyBorder="1" applyAlignment="1">
      <alignment horizontal="right" vertical="center" wrapText="1"/>
    </xf>
    <xf numFmtId="166" fontId="10" fillId="0" borderId="3" xfId="0" applyNumberFormat="1" applyFont="1" applyBorder="1" applyAlignment="1">
      <alignment horizontal="right" vertical="center" wrapText="1"/>
    </xf>
    <xf numFmtId="0" fontId="4" fillId="4" borderId="3" xfId="0" applyFont="1" applyFill="1" applyBorder="1" applyAlignment="1">
      <alignment horizontal="left" vertical="center" wrapText="1" indent="2"/>
    </xf>
    <xf numFmtId="165" fontId="7" fillId="4" borderId="3" xfId="0" applyNumberFormat="1" applyFont="1" applyFill="1" applyBorder="1" applyAlignment="1">
      <alignment horizontal="right" vertical="center" wrapText="1"/>
    </xf>
    <xf numFmtId="4" fontId="7" fillId="4" borderId="3" xfId="0" applyNumberFormat="1" applyFont="1" applyFill="1" applyBorder="1" applyAlignment="1">
      <alignment horizontal="right" vertical="center" wrapText="1"/>
    </xf>
    <xf numFmtId="0" fontId="0" fillId="4" borderId="0" xfId="0" applyFill="1"/>
    <xf numFmtId="0" fontId="6" fillId="4" borderId="3" xfId="0" applyFont="1" applyFill="1" applyBorder="1" applyAlignment="1">
      <alignment vertical="center" wrapText="1"/>
    </xf>
    <xf numFmtId="165" fontId="8" fillId="4" borderId="3" xfId="0" applyNumberFormat="1" applyFont="1" applyFill="1" applyBorder="1" applyAlignment="1">
      <alignment horizontal="right" vertical="center" wrapText="1"/>
    </xf>
    <xf numFmtId="0" fontId="4" fillId="4" borderId="3" xfId="0" applyFont="1" applyFill="1" applyBorder="1" applyAlignment="1">
      <alignment vertical="center" wrapText="1"/>
    </xf>
    <xf numFmtId="3" fontId="7" fillId="4" borderId="3" xfId="0" applyNumberFormat="1" applyFont="1" applyFill="1" applyBorder="1" applyAlignment="1">
      <alignment horizontal="right" vertical="center" wrapText="1"/>
    </xf>
    <xf numFmtId="166" fontId="7" fillId="4" borderId="3" xfId="0" applyNumberFormat="1" applyFont="1" applyFill="1" applyBorder="1" applyAlignment="1">
      <alignment horizontal="right" vertical="center" wrapText="1"/>
    </xf>
    <xf numFmtId="166" fontId="10" fillId="4" borderId="3" xfId="0" applyNumberFormat="1" applyFont="1" applyFill="1" applyBorder="1" applyAlignment="1">
      <alignment horizontal="right" vertical="center" wrapText="1"/>
    </xf>
    <xf numFmtId="0" fontId="12" fillId="5" borderId="0" xfId="0" applyFont="1" applyFill="1"/>
    <xf numFmtId="0" fontId="13" fillId="5" borderId="0" xfId="0" applyFont="1" applyFill="1"/>
    <xf numFmtId="9" fontId="13" fillId="5" borderId="0" xfId="1" applyFont="1" applyFill="1"/>
    <xf numFmtId="9" fontId="12" fillId="5" borderId="0" xfId="0" applyNumberFormat="1" applyFont="1" applyFill="1"/>
    <xf numFmtId="9" fontId="13" fillId="5" borderId="0" xfId="0" applyNumberFormat="1" applyFont="1" applyFill="1"/>
    <xf numFmtId="4" fontId="12" fillId="5" borderId="0" xfId="0" applyNumberFormat="1" applyFont="1" applyFill="1"/>
    <xf numFmtId="0" fontId="12" fillId="5" borderId="0" xfId="0" applyFont="1" applyFill="1" applyAlignment="1"/>
    <xf numFmtId="9" fontId="12" fillId="5" borderId="0" xfId="1" applyFont="1" applyFill="1"/>
    <xf numFmtId="9" fontId="12" fillId="4" borderId="0" xfId="0" applyNumberFormat="1" applyFont="1" applyFill="1"/>
    <xf numFmtId="0" fontId="12" fillId="4" borderId="0" xfId="0" applyFont="1" applyFill="1"/>
    <xf numFmtId="10" fontId="12" fillId="5" borderId="0" xfId="1" applyNumberFormat="1" applyFont="1" applyFill="1"/>
    <xf numFmtId="10" fontId="12" fillId="4" borderId="0" xfId="1" applyNumberFormat="1" applyFont="1" applyFill="1"/>
    <xf numFmtId="0" fontId="12" fillId="0" borderId="0" xfId="0" applyFont="1"/>
    <xf numFmtId="10" fontId="12" fillId="4" borderId="0" xfId="0" applyNumberFormat="1" applyFont="1" applyFill="1"/>
    <xf numFmtId="167" fontId="12" fillId="5" borderId="0" xfId="0" applyNumberFormat="1" applyFont="1" applyFill="1"/>
    <xf numFmtId="10" fontId="13" fillId="5" borderId="0" xfId="0" applyNumberFormat="1" applyFont="1" applyFill="1"/>
    <xf numFmtId="167" fontId="12" fillId="4" borderId="0" xfId="0" applyNumberFormat="1" applyFont="1" applyFill="1"/>
    <xf numFmtId="0" fontId="15" fillId="0" borderId="0" xfId="2" applyFont="1"/>
    <xf numFmtId="10" fontId="12" fillId="5" borderId="0" xfId="0" applyNumberFormat="1" applyFont="1" applyFill="1"/>
    <xf numFmtId="168" fontId="16" fillId="5" borderId="0" xfId="0" applyNumberFormat="1" applyFont="1" applyFill="1" applyAlignment="1">
      <alignment vertical="center"/>
    </xf>
    <xf numFmtId="168" fontId="17" fillId="5" borderId="0" xfId="0" applyNumberFormat="1" applyFont="1" applyFill="1" applyAlignment="1">
      <alignment vertical="center"/>
    </xf>
    <xf numFmtId="168" fontId="16" fillId="5" borderId="4" xfId="0" applyNumberFormat="1" applyFont="1" applyFill="1" applyBorder="1" applyAlignment="1">
      <alignment vertical="center"/>
    </xf>
    <xf numFmtId="170" fontId="16" fillId="5" borderId="4" xfId="0" applyNumberFormat="1" applyFont="1" applyFill="1" applyBorder="1" applyAlignment="1">
      <alignment vertical="center"/>
    </xf>
    <xf numFmtId="1" fontId="0" fillId="6" borderId="4" xfId="5" applyNumberFormat="1" applyFont="1" applyFill="1" applyBorder="1" applyAlignment="1">
      <alignment horizontal="center"/>
    </xf>
    <xf numFmtId="0" fontId="0" fillId="6" borderId="4" xfId="5" applyNumberFormat="1" applyFont="1" applyFill="1" applyBorder="1" applyAlignment="1">
      <alignment horizontal="center" vertical="center"/>
    </xf>
    <xf numFmtId="43" fontId="0" fillId="0" borderId="0" xfId="3" applyFont="1"/>
    <xf numFmtId="43" fontId="0" fillId="0" borderId="0" xfId="0" applyNumberFormat="1"/>
    <xf numFmtId="167" fontId="12" fillId="0" borderId="0" xfId="0" applyNumberFormat="1" applyFont="1"/>
    <xf numFmtId="0" fontId="12" fillId="7" borderId="0" xfId="0" applyFont="1" applyFill="1"/>
    <xf numFmtId="0" fontId="12" fillId="8" borderId="0" xfId="0" applyFont="1" applyFill="1" applyAlignment="1">
      <alignment horizontal="right"/>
    </xf>
    <xf numFmtId="0" fontId="13" fillId="5" borderId="0" xfId="0" applyNumberFormat="1" applyFont="1" applyFill="1"/>
    <xf numFmtId="0" fontId="12" fillId="5" borderId="0" xfId="0" applyNumberFormat="1" applyFont="1" applyFill="1"/>
    <xf numFmtId="2" fontId="12" fillId="5" borderId="0" xfId="0" applyNumberFormat="1" applyFont="1" applyFill="1"/>
    <xf numFmtId="10" fontId="13" fillId="5" borderId="0" xfId="1" applyNumberFormat="1" applyFont="1" applyFill="1"/>
    <xf numFmtId="0" fontId="15" fillId="5" borderId="0" xfId="2" applyFont="1" applyFill="1" applyBorder="1"/>
    <xf numFmtId="164" fontId="4" fillId="0" borderId="3" xfId="0" applyNumberFormat="1" applyFont="1" applyBorder="1" applyAlignment="1">
      <alignment horizontal="center" vertical="center" wrapText="1"/>
    </xf>
    <xf numFmtId="0" fontId="4" fillId="0" borderId="3" xfId="0" applyFont="1" applyBorder="1" applyAlignment="1">
      <alignment horizontal="center" vertical="center" wrapText="1"/>
    </xf>
    <xf numFmtId="0" fontId="3" fillId="2" borderId="2" xfId="0" applyFont="1" applyFill="1" applyBorder="1" applyAlignment="1">
      <alignment horizontal="center" vertical="center" wrapText="1"/>
    </xf>
    <xf numFmtId="164" fontId="3" fillId="2" borderId="2" xfId="0" applyNumberFormat="1" applyFont="1" applyFill="1" applyBorder="1" applyAlignment="1">
      <alignment horizontal="center" vertical="center" wrapText="1"/>
    </xf>
    <xf numFmtId="0" fontId="0" fillId="5" borderId="0" xfId="0" applyFill="1" applyBorder="1"/>
  </cellXfs>
  <cellStyles count="6">
    <cellStyle name="Comma" xfId="3" builtinId="3"/>
    <cellStyle name="Comma 2" xfId="5" xr:uid="{AD7FACC4-43EE-4A75-BC20-69C5A69363C2}"/>
    <cellStyle name="Hyperlink" xfId="2" builtinId="8"/>
    <cellStyle name="Normal" xfId="0" builtinId="0"/>
    <cellStyle name="Normal 2" xfId="4" xr:uid="{3BED4C9A-1879-491F-9C86-5F186F5292CC}"/>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Sensitivity of Scripps Enterprise Value to Annual Synergies (vs. Discovery Deal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Analysis!$B$61</c:f>
              <c:strCache>
                <c:ptCount val="1"/>
                <c:pt idx="0">
                  <c:v>Enterprise Value</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Analysis!$A$62:$A$69</c:f>
              <c:numCache>
                <c:formatCode>General</c:formatCode>
                <c:ptCount val="8"/>
                <c:pt idx="0">
                  <c:v>0</c:v>
                </c:pt>
                <c:pt idx="1">
                  <c:v>100</c:v>
                </c:pt>
                <c:pt idx="2">
                  <c:v>200</c:v>
                </c:pt>
                <c:pt idx="3">
                  <c:v>300</c:v>
                </c:pt>
                <c:pt idx="4">
                  <c:v>400</c:v>
                </c:pt>
                <c:pt idx="5">
                  <c:v>500</c:v>
                </c:pt>
                <c:pt idx="6">
                  <c:v>600</c:v>
                </c:pt>
                <c:pt idx="7">
                  <c:v>700</c:v>
                </c:pt>
              </c:numCache>
            </c:numRef>
          </c:xVal>
          <c:yVal>
            <c:numRef>
              <c:f>Analysis!$B$62:$B$69</c:f>
              <c:numCache>
                <c:formatCode>[$$-409]#,##0.00</c:formatCode>
                <c:ptCount val="8"/>
                <c:pt idx="0">
                  <c:v>10137.647137595775</c:v>
                </c:pt>
                <c:pt idx="1">
                  <c:v>11303.136829954719</c:v>
                </c:pt>
                <c:pt idx="2">
                  <c:v>12468.626522313663</c:v>
                </c:pt>
                <c:pt idx="3">
                  <c:v>13634.116214672609</c:v>
                </c:pt>
                <c:pt idx="4">
                  <c:v>14799.605907031553</c:v>
                </c:pt>
                <c:pt idx="5">
                  <c:v>15965.095599390497</c:v>
                </c:pt>
                <c:pt idx="6">
                  <c:v>17130.585291749441</c:v>
                </c:pt>
                <c:pt idx="7">
                  <c:v>18296.074984108385</c:v>
                </c:pt>
              </c:numCache>
            </c:numRef>
          </c:yVal>
          <c:smooth val="0"/>
          <c:extLst>
            <c:ext xmlns:c16="http://schemas.microsoft.com/office/drawing/2014/chart" uri="{C3380CC4-5D6E-409C-BE32-E72D297353CC}">
              <c16:uniqueId val="{00000000-6A15-4EE7-A6CA-17B9F295453E}"/>
            </c:ext>
          </c:extLst>
        </c:ser>
        <c:ser>
          <c:idx val="1"/>
          <c:order val="1"/>
          <c:tx>
            <c:v>Deal Value</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Analysis!$A$62:$A$69</c:f>
              <c:numCache>
                <c:formatCode>General</c:formatCode>
                <c:ptCount val="8"/>
                <c:pt idx="0">
                  <c:v>0</c:v>
                </c:pt>
                <c:pt idx="1">
                  <c:v>100</c:v>
                </c:pt>
                <c:pt idx="2">
                  <c:v>200</c:v>
                </c:pt>
                <c:pt idx="3">
                  <c:v>300</c:v>
                </c:pt>
                <c:pt idx="4">
                  <c:v>400</c:v>
                </c:pt>
                <c:pt idx="5">
                  <c:v>500</c:v>
                </c:pt>
                <c:pt idx="6">
                  <c:v>600</c:v>
                </c:pt>
                <c:pt idx="7">
                  <c:v>700</c:v>
                </c:pt>
              </c:numCache>
            </c:numRef>
          </c:xVal>
          <c:yVal>
            <c:numRef>
              <c:f>Analysis!$C$62:$C$69</c:f>
              <c:numCache>
                <c:formatCode>[$$-409]#,##0.00</c:formatCode>
                <c:ptCount val="8"/>
                <c:pt idx="0">
                  <c:v>14600</c:v>
                </c:pt>
                <c:pt idx="1">
                  <c:v>14600</c:v>
                </c:pt>
                <c:pt idx="2">
                  <c:v>14600</c:v>
                </c:pt>
                <c:pt idx="3">
                  <c:v>14600</c:v>
                </c:pt>
                <c:pt idx="4">
                  <c:v>14600</c:v>
                </c:pt>
                <c:pt idx="5">
                  <c:v>14600</c:v>
                </c:pt>
                <c:pt idx="6">
                  <c:v>14600</c:v>
                </c:pt>
                <c:pt idx="7">
                  <c:v>14600</c:v>
                </c:pt>
              </c:numCache>
            </c:numRef>
          </c:yVal>
          <c:smooth val="0"/>
          <c:extLst>
            <c:ext xmlns:c16="http://schemas.microsoft.com/office/drawing/2014/chart" uri="{C3380CC4-5D6E-409C-BE32-E72D297353CC}">
              <c16:uniqueId val="{00000001-6A15-4EE7-A6CA-17B9F295453E}"/>
            </c:ext>
          </c:extLst>
        </c:ser>
        <c:dLbls>
          <c:showLegendKey val="0"/>
          <c:showVal val="0"/>
          <c:showCatName val="0"/>
          <c:showSerName val="0"/>
          <c:showPercent val="0"/>
          <c:showBubbleSize val="0"/>
        </c:dLbls>
        <c:axId val="358866527"/>
        <c:axId val="358883327"/>
      </c:scatterChart>
      <c:valAx>
        <c:axId val="3588665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Annual Synergies ($ millions)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83327"/>
        <c:crosses val="autoZero"/>
        <c:crossBetween val="midCat"/>
      </c:valAx>
      <c:valAx>
        <c:axId val="3588833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Enterprise Value ($ millions)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4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8665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502920</xdr:colOff>
      <xdr:row>49</xdr:row>
      <xdr:rowOff>144780</xdr:rowOff>
    </xdr:from>
    <xdr:to>
      <xdr:col>14</xdr:col>
      <xdr:colOff>876300</xdr:colOff>
      <xdr:row>69</xdr:row>
      <xdr:rowOff>0</xdr:rowOff>
    </xdr:to>
    <xdr:graphicFrame macro="">
      <xdr:nvGraphicFramePr>
        <xdr:cNvPr id="4" name="Chart 3">
          <a:extLst>
            <a:ext uri="{FF2B5EF4-FFF2-40B4-BE49-F238E27FC236}">
              <a16:creationId xmlns:a16="http://schemas.microsoft.com/office/drawing/2014/main" id="{A17A6B01-6F47-3F36-60AA-FD6047DA7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valueinvesting.io/DISCA/valuation/wacc?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79"/>
  <sheetViews>
    <sheetView topLeftCell="A153" workbookViewId="0">
      <selection activeCell="I23" sqref="I23"/>
    </sheetView>
  </sheetViews>
  <sheetFormatPr defaultRowHeight="14.4" outlineLevelRow="1" x14ac:dyDescent="0.3"/>
  <cols>
    <col min="1" max="1" width="85.6640625" customWidth="1"/>
    <col min="2" max="16" width="15.6640625" customWidth="1"/>
  </cols>
  <sheetData>
    <row r="1" spans="1:16" ht="15" customHeight="1" x14ac:dyDescent="0.3">
      <c r="A1" s="1" t="s">
        <v>0</v>
      </c>
      <c r="B1" s="2"/>
      <c r="C1" s="2"/>
      <c r="D1" s="2"/>
      <c r="E1" s="2"/>
      <c r="F1" s="2"/>
      <c r="G1" s="2"/>
      <c r="H1" s="2"/>
      <c r="I1" s="2"/>
      <c r="J1" s="2"/>
      <c r="K1" s="2"/>
      <c r="L1" s="2"/>
      <c r="M1" s="2"/>
      <c r="N1" s="2"/>
      <c r="O1" s="2"/>
      <c r="P1" s="2"/>
    </row>
    <row r="2" spans="1:16" ht="15" customHeight="1" x14ac:dyDescent="0.3">
      <c r="A2" s="3" t="s">
        <v>1</v>
      </c>
      <c r="B2" s="4" t="s">
        <v>2</v>
      </c>
    </row>
    <row r="3" spans="1:16" x14ac:dyDescent="0.3">
      <c r="A3" s="3" t="s">
        <v>3</v>
      </c>
      <c r="B3" s="3" t="s">
        <v>4</v>
      </c>
    </row>
    <row r="4" spans="1:16" x14ac:dyDescent="0.3">
      <c r="A4" s="3" t="s">
        <v>5</v>
      </c>
      <c r="B4" s="3" t="s">
        <v>4</v>
      </c>
    </row>
    <row r="5" spans="1:16" x14ac:dyDescent="0.3">
      <c r="A5" s="3" t="s">
        <v>6</v>
      </c>
      <c r="B5" s="3" t="s">
        <v>7</v>
      </c>
    </row>
    <row r="6" spans="1:16" x14ac:dyDescent="0.3">
      <c r="A6" s="3" t="s">
        <v>8</v>
      </c>
      <c r="B6" s="3" t="s">
        <v>9</v>
      </c>
    </row>
    <row r="7" spans="1:16" x14ac:dyDescent="0.3">
      <c r="A7" s="3" t="s">
        <v>10</v>
      </c>
      <c r="B7" s="3" t="s">
        <v>11</v>
      </c>
    </row>
    <row r="8" spans="1:16" x14ac:dyDescent="0.3">
      <c r="A8" s="3" t="s">
        <v>12</v>
      </c>
      <c r="B8" s="3" t="s">
        <v>13</v>
      </c>
    </row>
    <row r="9" spans="1:16" x14ac:dyDescent="0.3">
      <c r="A9" s="3" t="s">
        <v>14</v>
      </c>
      <c r="B9" s="3" t="s">
        <v>15</v>
      </c>
    </row>
    <row r="10" spans="1:16" x14ac:dyDescent="0.3">
      <c r="A10" s="3" t="s">
        <v>16</v>
      </c>
      <c r="B10" s="5">
        <v>45835.823176759302</v>
      </c>
    </row>
    <row r="11" spans="1:16" x14ac:dyDescent="0.3">
      <c r="A11" s="6" t="s">
        <v>17</v>
      </c>
      <c r="B11" s="78" t="s">
        <v>18</v>
      </c>
      <c r="C11" s="78" t="s">
        <v>19</v>
      </c>
      <c r="D11" s="78" t="s">
        <v>20</v>
      </c>
      <c r="E11" s="78" t="s">
        <v>21</v>
      </c>
      <c r="F11" s="78" t="s">
        <v>22</v>
      </c>
      <c r="G11" s="78" t="s">
        <v>23</v>
      </c>
      <c r="H11" s="78" t="s">
        <v>24</v>
      </c>
      <c r="I11" s="78" t="s">
        <v>25</v>
      </c>
      <c r="J11" s="78" t="s">
        <v>26</v>
      </c>
      <c r="K11" s="78" t="s">
        <v>27</v>
      </c>
      <c r="L11" s="78" t="s">
        <v>28</v>
      </c>
      <c r="M11" s="78" t="s">
        <v>29</v>
      </c>
      <c r="N11" s="78" t="s">
        <v>30</v>
      </c>
      <c r="O11" s="78" t="s">
        <v>31</v>
      </c>
      <c r="P11" s="78" t="s">
        <v>32</v>
      </c>
    </row>
    <row r="12" spans="1:16" ht="15" customHeight="1" outlineLevel="1" x14ac:dyDescent="0.3">
      <c r="A12" s="7" t="s">
        <v>33</v>
      </c>
      <c r="B12" s="76">
        <v>45657</v>
      </c>
      <c r="C12" s="76">
        <v>45291</v>
      </c>
      <c r="D12" s="76">
        <v>44926</v>
      </c>
      <c r="E12" s="76">
        <v>44561</v>
      </c>
      <c r="F12" s="76">
        <v>44196</v>
      </c>
      <c r="G12" s="76">
        <v>43830</v>
      </c>
      <c r="H12" s="76">
        <v>43465</v>
      </c>
      <c r="I12" s="76">
        <v>43100</v>
      </c>
      <c r="J12" s="76">
        <v>42735</v>
      </c>
      <c r="K12" s="76">
        <v>42369</v>
      </c>
      <c r="L12" s="76">
        <v>42004</v>
      </c>
      <c r="M12" s="76">
        <v>41639</v>
      </c>
      <c r="N12" s="76">
        <v>41274</v>
      </c>
      <c r="O12" s="76">
        <v>40908</v>
      </c>
      <c r="P12" s="76">
        <v>40543</v>
      </c>
    </row>
    <row r="13" spans="1:16" ht="15" customHeight="1" outlineLevel="1" x14ac:dyDescent="0.3">
      <c r="A13" s="7" t="s">
        <v>34</v>
      </c>
      <c r="B13" s="76">
        <v>45657</v>
      </c>
      <c r="C13" s="76">
        <v>45291</v>
      </c>
      <c r="D13" s="76">
        <v>44926</v>
      </c>
      <c r="E13" s="76">
        <v>44561</v>
      </c>
      <c r="F13" s="76">
        <v>44196</v>
      </c>
      <c r="G13" s="76">
        <v>44196</v>
      </c>
      <c r="H13" s="76">
        <v>44196</v>
      </c>
      <c r="I13" s="76">
        <v>43465</v>
      </c>
      <c r="J13" s="76">
        <v>43465</v>
      </c>
      <c r="K13" s="76">
        <v>43100</v>
      </c>
      <c r="L13" s="76">
        <v>42369</v>
      </c>
      <c r="M13" s="76">
        <v>42369</v>
      </c>
      <c r="N13" s="76">
        <v>42004</v>
      </c>
      <c r="O13" s="76">
        <v>41274</v>
      </c>
      <c r="P13" s="76">
        <v>41274</v>
      </c>
    </row>
    <row r="14" spans="1:16" outlineLevel="1" x14ac:dyDescent="0.3">
      <c r="A14" s="7" t="s">
        <v>35</v>
      </c>
      <c r="B14" s="77" t="s">
        <v>36</v>
      </c>
      <c r="C14" s="77" t="s">
        <v>36</v>
      </c>
      <c r="D14" s="77" t="s">
        <v>36</v>
      </c>
      <c r="E14" s="77" t="s">
        <v>36</v>
      </c>
      <c r="F14" s="77" t="s">
        <v>36</v>
      </c>
      <c r="G14" s="77" t="s">
        <v>36</v>
      </c>
      <c r="H14" s="77" t="s">
        <v>36</v>
      </c>
      <c r="I14" s="77" t="s">
        <v>36</v>
      </c>
      <c r="J14" s="77" t="s">
        <v>36</v>
      </c>
      <c r="K14" s="77" t="s">
        <v>36</v>
      </c>
      <c r="L14" s="77" t="s">
        <v>36</v>
      </c>
      <c r="M14" s="77" t="s">
        <v>36</v>
      </c>
      <c r="N14" s="77" t="s">
        <v>36</v>
      </c>
      <c r="O14" s="77" t="s">
        <v>36</v>
      </c>
      <c r="P14" s="77" t="s">
        <v>36</v>
      </c>
    </row>
    <row r="15" spans="1:16" outlineLevel="1" x14ac:dyDescent="0.3">
      <c r="A15" s="7" t="s">
        <v>37</v>
      </c>
      <c r="B15" s="77" t="s">
        <v>38</v>
      </c>
      <c r="C15" s="77" t="s">
        <v>38</v>
      </c>
      <c r="D15" s="77" t="s">
        <v>38</v>
      </c>
      <c r="E15" s="77" t="s">
        <v>38</v>
      </c>
      <c r="F15" s="77" t="s">
        <v>38</v>
      </c>
      <c r="G15" s="77" t="s">
        <v>38</v>
      </c>
      <c r="H15" s="77" t="s">
        <v>38</v>
      </c>
      <c r="I15" s="77" t="s">
        <v>38</v>
      </c>
      <c r="J15" s="77" t="s">
        <v>38</v>
      </c>
      <c r="K15" s="77" t="s">
        <v>38</v>
      </c>
      <c r="L15" s="77" t="s">
        <v>38</v>
      </c>
      <c r="M15" s="77" t="s">
        <v>38</v>
      </c>
      <c r="N15" s="77" t="s">
        <v>38</v>
      </c>
      <c r="O15" s="77" t="s">
        <v>38</v>
      </c>
      <c r="P15" s="77" t="s">
        <v>38</v>
      </c>
    </row>
    <row r="17" spans="1:16" x14ac:dyDescent="0.3">
      <c r="A17" s="8" t="s">
        <v>39</v>
      </c>
      <c r="B17" s="6"/>
      <c r="C17" s="6"/>
      <c r="D17" s="6"/>
      <c r="E17" s="6"/>
      <c r="F17" s="6"/>
      <c r="G17" s="6"/>
      <c r="H17" s="6"/>
      <c r="I17" s="6"/>
      <c r="J17" s="6"/>
      <c r="K17" s="6"/>
      <c r="L17" s="6"/>
      <c r="M17" s="6"/>
      <c r="N17" s="6"/>
      <c r="O17" s="6"/>
      <c r="P17" s="6"/>
    </row>
    <row r="18" spans="1:16" x14ac:dyDescent="0.3">
      <c r="A18" s="8" t="s">
        <v>40</v>
      </c>
      <c r="B18" s="9" t="s">
        <v>41</v>
      </c>
      <c r="C18" s="9" t="s">
        <v>42</v>
      </c>
      <c r="D18" s="9" t="s">
        <v>43</v>
      </c>
      <c r="E18" s="9" t="s">
        <v>44</v>
      </c>
      <c r="F18" s="9" t="s">
        <v>45</v>
      </c>
      <c r="G18" s="9" t="s">
        <v>46</v>
      </c>
      <c r="H18" s="9" t="s">
        <v>47</v>
      </c>
      <c r="I18" s="9" t="s">
        <v>48</v>
      </c>
      <c r="J18" s="9" t="s">
        <v>49</v>
      </c>
      <c r="K18" s="9" t="s">
        <v>50</v>
      </c>
      <c r="L18" s="9" t="s">
        <v>51</v>
      </c>
      <c r="M18" s="9" t="s">
        <v>52</v>
      </c>
      <c r="N18" s="9" t="s">
        <v>53</v>
      </c>
      <c r="O18" s="9" t="s">
        <v>54</v>
      </c>
      <c r="P18" s="9" t="s">
        <v>55</v>
      </c>
    </row>
    <row r="19" spans="1:16" ht="15" customHeight="1" x14ac:dyDescent="0.3">
      <c r="A19" s="10" t="s">
        <v>56</v>
      </c>
      <c r="B19" s="11"/>
      <c r="C19" s="11"/>
      <c r="D19" s="11"/>
      <c r="E19" s="11"/>
      <c r="F19" s="11"/>
      <c r="G19" s="11"/>
      <c r="H19" s="11"/>
      <c r="I19" s="11"/>
      <c r="J19" s="11"/>
      <c r="K19" s="11"/>
      <c r="L19" s="11"/>
      <c r="M19" s="11"/>
      <c r="N19" s="11"/>
      <c r="O19" s="11"/>
      <c r="P19" s="11"/>
    </row>
    <row r="20" spans="1:16" ht="15" customHeight="1" x14ac:dyDescent="0.3">
      <c r="A20" s="12" t="s">
        <v>57</v>
      </c>
      <c r="B20" s="13">
        <v>2477.29</v>
      </c>
      <c r="C20" s="13">
        <v>2257.2199999999998</v>
      </c>
      <c r="D20" s="13">
        <v>2417.71</v>
      </c>
      <c r="E20" s="13">
        <v>2229.71</v>
      </c>
      <c r="F20" s="13">
        <v>1776.47</v>
      </c>
      <c r="G20" s="13">
        <v>1274.69</v>
      </c>
      <c r="H20" s="13">
        <v>1130.23</v>
      </c>
      <c r="I20" s="13">
        <v>823.59</v>
      </c>
      <c r="J20" s="13">
        <v>829.47</v>
      </c>
      <c r="K20" s="13">
        <v>625.82000000000005</v>
      </c>
      <c r="L20" s="13">
        <v>477.73</v>
      </c>
      <c r="M20" s="13">
        <v>413.24</v>
      </c>
      <c r="N20" s="13">
        <v>859.71</v>
      </c>
      <c r="O20" s="13">
        <v>670.87</v>
      </c>
      <c r="P20" s="13">
        <v>722.69</v>
      </c>
    </row>
    <row r="21" spans="1:16" ht="15" customHeight="1" x14ac:dyDescent="0.3">
      <c r="A21" s="14" t="s">
        <v>58</v>
      </c>
      <c r="B21" s="13">
        <v>2477.29</v>
      </c>
      <c r="C21" s="13">
        <v>2257.2199999999998</v>
      </c>
      <c r="D21" s="13">
        <v>2417.71</v>
      </c>
      <c r="E21" s="13">
        <v>2229.71</v>
      </c>
      <c r="F21" s="13">
        <v>1776.47</v>
      </c>
      <c r="G21" s="13">
        <v>1274.69</v>
      </c>
      <c r="H21" s="13">
        <v>1130.23</v>
      </c>
      <c r="I21" s="13">
        <v>823.59</v>
      </c>
      <c r="J21" s="13">
        <v>829.47</v>
      </c>
      <c r="K21" s="13">
        <v>625.82000000000005</v>
      </c>
      <c r="L21" s="13">
        <v>477.73</v>
      </c>
      <c r="M21" s="13">
        <v>413.24</v>
      </c>
      <c r="N21" s="13">
        <v>859.71</v>
      </c>
      <c r="O21" s="13">
        <v>670.87</v>
      </c>
      <c r="P21" s="13">
        <v>722.69</v>
      </c>
    </row>
    <row r="22" spans="1:16" ht="15" customHeight="1" x14ac:dyDescent="0.3">
      <c r="A22" s="12" t="s">
        <v>59</v>
      </c>
      <c r="B22" s="15">
        <v>32.49</v>
      </c>
      <c r="C22" s="15">
        <v>35.700000000000003</v>
      </c>
      <c r="D22" s="15">
        <v>35.51</v>
      </c>
      <c r="E22" s="15">
        <v>53.83</v>
      </c>
      <c r="F22" s="15">
        <v>81.010000000000005</v>
      </c>
      <c r="G22" s="15">
        <v>76.709999999999994</v>
      </c>
      <c r="H22" s="15">
        <v>27.13</v>
      </c>
      <c r="I22" s="15">
        <v>53.38</v>
      </c>
      <c r="J22" s="15">
        <v>44.98</v>
      </c>
      <c r="K22" s="15">
        <v>28.36</v>
      </c>
      <c r="L22" s="15">
        <v>21.02</v>
      </c>
      <c r="M22" s="15">
        <v>19.12</v>
      </c>
      <c r="N22" s="15">
        <v>43.75</v>
      </c>
      <c r="O22" s="15">
        <v>57.79</v>
      </c>
      <c r="P22" s="15">
        <v>54.2</v>
      </c>
    </row>
    <row r="23" spans="1:16" s="34" customFormat="1" ht="15" customHeight="1" x14ac:dyDescent="0.3">
      <c r="A23" s="35" t="s">
        <v>60</v>
      </c>
      <c r="B23" s="36">
        <v>2509.77</v>
      </c>
      <c r="C23" s="36">
        <v>2292.91</v>
      </c>
      <c r="D23" s="36">
        <v>2453.2199999999998</v>
      </c>
      <c r="E23" s="36">
        <v>2283.5300000000002</v>
      </c>
      <c r="F23" s="36">
        <v>1857.48</v>
      </c>
      <c r="G23" s="36">
        <v>1351.4</v>
      </c>
      <c r="H23" s="36">
        <v>1157.3599999999999</v>
      </c>
      <c r="I23" s="36">
        <v>876.97</v>
      </c>
      <c r="J23" s="36">
        <v>874.45</v>
      </c>
      <c r="K23" s="36">
        <v>654.16999999999996</v>
      </c>
      <c r="L23" s="36">
        <v>498.75</v>
      </c>
      <c r="M23" s="36">
        <v>432.36</v>
      </c>
      <c r="N23" s="36">
        <v>903.46</v>
      </c>
      <c r="O23" s="36">
        <v>728.66</v>
      </c>
      <c r="P23" s="36">
        <v>776.89</v>
      </c>
    </row>
    <row r="24" spans="1:16" ht="15" customHeight="1" x14ac:dyDescent="0.3">
      <c r="A24" s="10" t="s">
        <v>61</v>
      </c>
      <c r="B24" s="11"/>
      <c r="C24" s="11"/>
      <c r="D24" s="11"/>
      <c r="E24" s="11"/>
      <c r="F24" s="11"/>
      <c r="G24" s="11"/>
      <c r="H24" s="11"/>
      <c r="I24" s="11"/>
      <c r="J24" s="11"/>
      <c r="K24" s="11"/>
      <c r="L24" s="11"/>
      <c r="M24" s="11"/>
      <c r="N24" s="11"/>
      <c r="O24" s="11"/>
      <c r="P24" s="11"/>
    </row>
    <row r="25" spans="1:16" ht="15" customHeight="1" x14ac:dyDescent="0.3">
      <c r="A25" s="12" t="s">
        <v>62</v>
      </c>
      <c r="B25" s="13">
        <v>1476</v>
      </c>
      <c r="C25" s="13">
        <v>1438.43</v>
      </c>
      <c r="D25" s="13">
        <v>1394.2</v>
      </c>
      <c r="E25" s="13">
        <v>1268.1500000000001</v>
      </c>
      <c r="F25" s="13">
        <v>637.94000000000005</v>
      </c>
      <c r="G25" s="13">
        <v>482.66</v>
      </c>
      <c r="H25" s="13">
        <v>375.3</v>
      </c>
      <c r="I25" s="13">
        <v>284.95</v>
      </c>
      <c r="J25" s="13">
        <v>227.82</v>
      </c>
      <c r="K25" s="13">
        <v>161.96</v>
      </c>
      <c r="L25" s="15">
        <v>87.67</v>
      </c>
      <c r="M25" s="15">
        <v>84.35</v>
      </c>
      <c r="N25" s="13">
        <v>207.76</v>
      </c>
      <c r="O25" s="13">
        <v>200.1</v>
      </c>
      <c r="P25" s="13">
        <v>200.24</v>
      </c>
    </row>
    <row r="26" spans="1:16" s="34" customFormat="1" ht="15" customHeight="1" x14ac:dyDescent="0.3">
      <c r="A26" s="31" t="s">
        <v>63</v>
      </c>
      <c r="B26" s="32">
        <v>1476</v>
      </c>
      <c r="C26" s="32">
        <v>1438.43</v>
      </c>
      <c r="D26" s="32">
        <v>1394.2</v>
      </c>
      <c r="E26" s="32">
        <v>1268.1500000000001</v>
      </c>
      <c r="F26" s="32">
        <v>637.94000000000005</v>
      </c>
      <c r="G26" s="32">
        <v>482.66</v>
      </c>
      <c r="H26" s="32">
        <v>375.3</v>
      </c>
      <c r="I26" s="32">
        <v>284.95</v>
      </c>
      <c r="J26" s="32">
        <v>227.82</v>
      </c>
      <c r="K26" s="32">
        <v>161.96</v>
      </c>
      <c r="L26" s="33">
        <v>87.67</v>
      </c>
      <c r="M26" s="33">
        <v>84.35</v>
      </c>
      <c r="N26" s="32">
        <v>207.76</v>
      </c>
      <c r="O26" s="32">
        <v>200.1</v>
      </c>
      <c r="P26" s="32">
        <v>200.24</v>
      </c>
    </row>
    <row r="27" spans="1:16" ht="15" customHeight="1" x14ac:dyDescent="0.3">
      <c r="A27" s="18" t="s">
        <v>64</v>
      </c>
      <c r="B27" s="13">
        <v>1320.77</v>
      </c>
      <c r="C27" s="13">
        <v>1283.32</v>
      </c>
      <c r="D27" s="13">
        <v>1233.77</v>
      </c>
      <c r="E27" s="13">
        <v>1106.23</v>
      </c>
      <c r="F27" s="13">
        <v>530.79</v>
      </c>
      <c r="G27" s="13">
        <v>398.31</v>
      </c>
      <c r="H27" s="13">
        <v>314.58999999999997</v>
      </c>
      <c r="I27" s="13">
        <v>228.61</v>
      </c>
      <c r="J27" s="13">
        <v>172.62</v>
      </c>
      <c r="K27" s="13">
        <v>112.17</v>
      </c>
      <c r="L27" s="15">
        <v>55.49</v>
      </c>
      <c r="M27" s="15">
        <v>53.83</v>
      </c>
      <c r="N27" s="13">
        <v>158.43</v>
      </c>
      <c r="O27" s="13">
        <v>160.03</v>
      </c>
      <c r="P27" s="13">
        <v>155.35</v>
      </c>
    </row>
    <row r="28" spans="1:16" ht="15" customHeight="1" x14ac:dyDescent="0.3">
      <c r="A28" s="18" t="s">
        <v>65</v>
      </c>
      <c r="B28" s="15">
        <v>93.24</v>
      </c>
      <c r="C28" s="15">
        <v>94.38</v>
      </c>
      <c r="D28" s="15">
        <v>98.49</v>
      </c>
      <c r="E28" s="13">
        <v>103.57</v>
      </c>
      <c r="F28" s="15">
        <v>56.74</v>
      </c>
      <c r="G28" s="15">
        <v>44.35</v>
      </c>
      <c r="H28" s="15">
        <v>26.33</v>
      </c>
      <c r="I28" s="15">
        <v>22.29</v>
      </c>
      <c r="J28" s="15">
        <v>22.73</v>
      </c>
      <c r="K28" s="15">
        <v>16.98</v>
      </c>
      <c r="L28" s="15">
        <v>8.01</v>
      </c>
      <c r="M28" s="15">
        <v>6.38</v>
      </c>
      <c r="N28" s="15">
        <v>7.07</v>
      </c>
      <c r="O28" s="15">
        <v>1.25</v>
      </c>
      <c r="P28" s="15">
        <v>1.38</v>
      </c>
    </row>
    <row r="29" spans="1:16" ht="15" customHeight="1" x14ac:dyDescent="0.3">
      <c r="A29" s="18" t="s">
        <v>66</v>
      </c>
      <c r="B29" s="15">
        <v>61.99</v>
      </c>
      <c r="C29" s="15">
        <v>60.73</v>
      </c>
      <c r="D29" s="15">
        <v>61.94</v>
      </c>
      <c r="E29" s="15">
        <v>58.36</v>
      </c>
      <c r="F29" s="15">
        <v>50.42</v>
      </c>
      <c r="G29" s="15">
        <v>40</v>
      </c>
      <c r="H29" s="15">
        <v>34.39</v>
      </c>
      <c r="I29" s="15">
        <v>34.049999999999997</v>
      </c>
      <c r="J29" s="15">
        <v>32.47</v>
      </c>
      <c r="K29" s="15">
        <v>32.81</v>
      </c>
      <c r="L29" s="15">
        <v>24.17</v>
      </c>
      <c r="M29" s="15">
        <v>24.14</v>
      </c>
      <c r="N29" s="15">
        <v>42.26</v>
      </c>
      <c r="O29" s="15">
        <v>38.82</v>
      </c>
      <c r="P29" s="15">
        <v>43.52</v>
      </c>
    </row>
    <row r="30" spans="1:16" ht="15" customHeight="1" x14ac:dyDescent="0.3">
      <c r="A30" s="16" t="s">
        <v>67</v>
      </c>
      <c r="B30" s="17">
        <v>1033.77</v>
      </c>
      <c r="C30" s="17">
        <v>854.48</v>
      </c>
      <c r="D30" s="17">
        <v>1059.01</v>
      </c>
      <c r="E30" s="17">
        <v>1015.38</v>
      </c>
      <c r="F30" s="17">
        <v>1219.54</v>
      </c>
      <c r="G30" s="17">
        <v>868.74</v>
      </c>
      <c r="H30" s="17">
        <v>782.07</v>
      </c>
      <c r="I30" s="17">
        <v>592.02</v>
      </c>
      <c r="J30" s="17">
        <v>646.63</v>
      </c>
      <c r="K30" s="17">
        <v>492.22</v>
      </c>
      <c r="L30" s="17">
        <v>411.09</v>
      </c>
      <c r="M30" s="17">
        <v>348.01</v>
      </c>
      <c r="N30" s="17">
        <v>695.7</v>
      </c>
      <c r="O30" s="17">
        <v>528.55999999999995</v>
      </c>
      <c r="P30" s="17">
        <v>576.65</v>
      </c>
    </row>
    <row r="31" spans="1:16" ht="15" customHeight="1" x14ac:dyDescent="0.3">
      <c r="A31" s="12" t="s">
        <v>68</v>
      </c>
      <c r="B31" s="13">
        <v>606.17999999999995</v>
      </c>
      <c r="C31" s="13">
        <v>614.77</v>
      </c>
      <c r="D31" s="13">
        <v>623.16</v>
      </c>
      <c r="E31" s="13">
        <v>595.11</v>
      </c>
      <c r="F31" s="13">
        <v>572.28</v>
      </c>
      <c r="G31" s="13">
        <v>476.97</v>
      </c>
      <c r="H31" s="13">
        <v>376.44</v>
      </c>
      <c r="I31" s="13">
        <v>367.74</v>
      </c>
      <c r="J31" s="13">
        <v>343.57</v>
      </c>
      <c r="K31" s="13">
        <v>316.42</v>
      </c>
      <c r="L31" s="13">
        <v>296.02999999999997</v>
      </c>
      <c r="M31" s="13">
        <v>259.48</v>
      </c>
      <c r="N31" s="13">
        <v>396.24</v>
      </c>
      <c r="O31" s="13">
        <v>410.86</v>
      </c>
      <c r="P31" s="13">
        <v>344.65</v>
      </c>
    </row>
    <row r="32" spans="1:16" ht="15" customHeight="1" x14ac:dyDescent="0.3">
      <c r="A32" s="14" t="s">
        <v>69</v>
      </c>
      <c r="B32" s="19"/>
      <c r="C32" s="19"/>
      <c r="D32" s="19"/>
      <c r="E32" s="19"/>
      <c r="F32" s="19"/>
      <c r="G32" s="19"/>
      <c r="H32" s="19"/>
      <c r="I32" s="19"/>
      <c r="J32" s="19"/>
      <c r="K32" s="19"/>
      <c r="L32" s="15">
        <v>31.16</v>
      </c>
      <c r="M32" s="15">
        <v>26.27</v>
      </c>
      <c r="N32" s="19"/>
      <c r="O32" s="15">
        <v>51.58</v>
      </c>
      <c r="P32" s="19"/>
    </row>
    <row r="33" spans="1:16" ht="15" customHeight="1" x14ac:dyDescent="0.3">
      <c r="A33" s="14" t="s">
        <v>70</v>
      </c>
      <c r="B33" s="19"/>
      <c r="C33" s="19"/>
      <c r="D33" s="19"/>
      <c r="E33" s="19"/>
      <c r="F33" s="13">
        <v>572.28</v>
      </c>
      <c r="G33" s="13">
        <v>476.97</v>
      </c>
      <c r="H33" s="13">
        <v>376.44</v>
      </c>
      <c r="I33" s="13">
        <v>367.74</v>
      </c>
      <c r="J33" s="13">
        <v>343.57</v>
      </c>
      <c r="K33" s="13">
        <v>316.42</v>
      </c>
      <c r="L33" s="13">
        <v>257.87</v>
      </c>
      <c r="M33" s="13">
        <v>225.64</v>
      </c>
      <c r="N33" s="13">
        <v>396.24</v>
      </c>
      <c r="O33" s="13">
        <v>348.18</v>
      </c>
      <c r="P33" s="13">
        <v>344.65</v>
      </c>
    </row>
    <row r="34" spans="1:16" ht="15" customHeight="1" x14ac:dyDescent="0.3">
      <c r="A34" s="14" t="s">
        <v>71</v>
      </c>
      <c r="B34" s="19"/>
      <c r="C34" s="19"/>
      <c r="D34" s="19"/>
      <c r="E34" s="19"/>
      <c r="F34" s="19"/>
      <c r="G34" s="19"/>
      <c r="H34" s="19"/>
      <c r="I34" s="19"/>
      <c r="J34" s="19"/>
      <c r="K34" s="19"/>
      <c r="L34" s="15">
        <v>7</v>
      </c>
      <c r="M34" s="15">
        <v>7.56</v>
      </c>
      <c r="N34" s="19"/>
      <c r="O34" s="15">
        <v>11.1</v>
      </c>
      <c r="P34" s="19"/>
    </row>
    <row r="35" spans="1:16" ht="15" customHeight="1" x14ac:dyDescent="0.3">
      <c r="A35" s="18" t="s">
        <v>72</v>
      </c>
      <c r="B35" s="19"/>
      <c r="C35" s="19"/>
      <c r="D35" s="19"/>
      <c r="E35" s="19"/>
      <c r="F35" s="19"/>
      <c r="G35" s="19"/>
      <c r="H35" s="19"/>
      <c r="I35" s="19"/>
      <c r="J35" s="19"/>
      <c r="K35" s="19"/>
      <c r="L35" s="15">
        <v>7</v>
      </c>
      <c r="M35" s="15">
        <v>7.56</v>
      </c>
      <c r="N35" s="19"/>
      <c r="O35" s="15">
        <v>11.1</v>
      </c>
      <c r="P35" s="19"/>
    </row>
    <row r="36" spans="1:16" s="34" customFormat="1" ht="15" customHeight="1" x14ac:dyDescent="0.3">
      <c r="A36" s="37" t="s">
        <v>73</v>
      </c>
      <c r="B36" s="38"/>
      <c r="C36" s="38"/>
      <c r="D36" s="38"/>
      <c r="E36" s="38"/>
      <c r="F36" s="32">
        <v>324.43</v>
      </c>
      <c r="G36" s="32">
        <v>276.43</v>
      </c>
      <c r="H36" s="32">
        <v>233.94</v>
      </c>
      <c r="I36" s="32">
        <v>185.87</v>
      </c>
      <c r="J36" s="32">
        <v>173.8</v>
      </c>
      <c r="K36" s="32">
        <v>149.44999999999999</v>
      </c>
      <c r="L36" s="33">
        <v>82.69</v>
      </c>
      <c r="M36" s="33">
        <v>88.44</v>
      </c>
      <c r="N36" s="32">
        <v>209.92</v>
      </c>
      <c r="O36" s="32">
        <v>119.48</v>
      </c>
      <c r="P36" s="32">
        <v>186.52</v>
      </c>
    </row>
    <row r="37" spans="1:16" ht="15" customHeight="1" x14ac:dyDescent="0.3">
      <c r="A37" s="14" t="s">
        <v>74</v>
      </c>
      <c r="B37" s="19"/>
      <c r="C37" s="19"/>
      <c r="D37" s="19"/>
      <c r="E37" s="19"/>
      <c r="F37" s="13">
        <v>324.43</v>
      </c>
      <c r="G37" s="13">
        <v>276.43</v>
      </c>
      <c r="H37" s="13">
        <v>233.94</v>
      </c>
      <c r="I37" s="13">
        <v>185.87</v>
      </c>
      <c r="J37" s="13">
        <v>173.8</v>
      </c>
      <c r="K37" s="13">
        <v>149.44999999999999</v>
      </c>
      <c r="L37" s="15">
        <v>82.69</v>
      </c>
      <c r="M37" s="15">
        <v>88.44</v>
      </c>
      <c r="N37" s="13">
        <v>209.92</v>
      </c>
      <c r="O37" s="13">
        <v>119.48</v>
      </c>
      <c r="P37" s="13">
        <v>186.52</v>
      </c>
    </row>
    <row r="38" spans="1:16" ht="15" customHeight="1" x14ac:dyDescent="0.3">
      <c r="A38" s="12" t="s">
        <v>75</v>
      </c>
      <c r="B38" s="13">
        <v>2082.1799999999998</v>
      </c>
      <c r="C38" s="13">
        <v>2053.1999999999998</v>
      </c>
      <c r="D38" s="13">
        <v>2017.36</v>
      </c>
      <c r="E38" s="13">
        <v>1863.25</v>
      </c>
      <c r="F38" s="13">
        <v>1534.65</v>
      </c>
      <c r="G38" s="13">
        <v>1236.06</v>
      </c>
      <c r="H38" s="13">
        <v>985.67</v>
      </c>
      <c r="I38" s="13">
        <v>838.55</v>
      </c>
      <c r="J38" s="13">
        <v>745.19</v>
      </c>
      <c r="K38" s="13">
        <v>627.83000000000004</v>
      </c>
      <c r="L38" s="13">
        <v>466.38</v>
      </c>
      <c r="M38" s="13">
        <v>432.27</v>
      </c>
      <c r="N38" s="13">
        <v>813.92</v>
      </c>
      <c r="O38" s="13">
        <v>730.44</v>
      </c>
      <c r="P38" s="13">
        <v>731.42</v>
      </c>
    </row>
    <row r="39" spans="1:16" ht="15" customHeight="1" x14ac:dyDescent="0.3">
      <c r="A39" s="10" t="s">
        <v>76</v>
      </c>
      <c r="B39" s="11"/>
      <c r="C39" s="11"/>
      <c r="D39" s="11"/>
      <c r="E39" s="11"/>
      <c r="F39" s="11"/>
      <c r="G39" s="11"/>
      <c r="H39" s="11"/>
      <c r="I39" s="11"/>
      <c r="J39" s="11"/>
      <c r="K39" s="11"/>
      <c r="L39" s="11"/>
      <c r="M39" s="11"/>
      <c r="N39" s="11"/>
      <c r="O39" s="11"/>
      <c r="P39" s="11"/>
    </row>
    <row r="40" spans="1:16" ht="15" customHeight="1" x14ac:dyDescent="0.3">
      <c r="A40" s="16" t="s">
        <v>77</v>
      </c>
      <c r="B40" s="17">
        <v>427.59</v>
      </c>
      <c r="C40" s="17">
        <v>239.71</v>
      </c>
      <c r="D40" s="17">
        <v>435.85</v>
      </c>
      <c r="E40" s="17">
        <v>420.28</v>
      </c>
      <c r="F40" s="17">
        <v>322.83</v>
      </c>
      <c r="G40" s="17">
        <v>115.34</v>
      </c>
      <c r="H40" s="17">
        <v>171.69</v>
      </c>
      <c r="I40" s="20">
        <v>38.42</v>
      </c>
      <c r="J40" s="17">
        <v>129.26</v>
      </c>
      <c r="K40" s="20">
        <v>26.34</v>
      </c>
      <c r="L40" s="20">
        <v>32.369999999999997</v>
      </c>
      <c r="M40" s="20">
        <v>0.09</v>
      </c>
      <c r="N40" s="20">
        <v>89.54</v>
      </c>
      <c r="O40" s="21">
        <v>-1.77</v>
      </c>
      <c r="P40" s="20">
        <v>45.47</v>
      </c>
    </row>
    <row r="41" spans="1:16" ht="15" customHeight="1" x14ac:dyDescent="0.3">
      <c r="A41" s="10" t="s">
        <v>78</v>
      </c>
      <c r="B41" s="11"/>
      <c r="C41" s="11"/>
      <c r="D41" s="11"/>
      <c r="E41" s="11"/>
      <c r="F41" s="11"/>
      <c r="G41" s="11"/>
      <c r="H41" s="11"/>
      <c r="I41" s="11"/>
      <c r="J41" s="11"/>
      <c r="K41" s="11"/>
      <c r="L41" s="11"/>
      <c r="M41" s="11"/>
      <c r="N41" s="11"/>
      <c r="O41" s="11"/>
      <c r="P41" s="11"/>
    </row>
    <row r="42" spans="1:16" ht="15" customHeight="1" x14ac:dyDescent="0.3">
      <c r="A42" s="12" t="s">
        <v>79</v>
      </c>
      <c r="B42" s="22">
        <v>-210.34</v>
      </c>
      <c r="C42" s="22">
        <v>-213.51</v>
      </c>
      <c r="D42" s="22">
        <v>-161.13</v>
      </c>
      <c r="E42" s="22">
        <v>-165.16</v>
      </c>
      <c r="F42" s="23">
        <v>-92.99</v>
      </c>
      <c r="G42" s="23">
        <v>-80.599999999999994</v>
      </c>
      <c r="H42" s="23">
        <v>-36.18</v>
      </c>
      <c r="I42" s="23">
        <v>-26.7</v>
      </c>
      <c r="J42" s="23">
        <v>-18.04</v>
      </c>
      <c r="K42" s="23">
        <v>-15.1</v>
      </c>
      <c r="L42" s="23">
        <v>-8.49</v>
      </c>
      <c r="M42" s="23">
        <v>-10.44</v>
      </c>
      <c r="N42" s="23">
        <v>-12.25</v>
      </c>
      <c r="O42" s="23">
        <v>-1.64</v>
      </c>
      <c r="P42" s="23">
        <v>-3.67</v>
      </c>
    </row>
    <row r="43" spans="1:16" ht="15" customHeight="1" x14ac:dyDescent="0.3">
      <c r="A43" s="14" t="s">
        <v>80</v>
      </c>
      <c r="B43" s="13">
        <v>210.34</v>
      </c>
      <c r="C43" s="13">
        <v>213.51</v>
      </c>
      <c r="D43" s="13">
        <v>161.13</v>
      </c>
      <c r="E43" s="13">
        <v>165.16</v>
      </c>
      <c r="F43" s="15">
        <v>92.99</v>
      </c>
      <c r="G43" s="15">
        <v>80.599999999999994</v>
      </c>
      <c r="H43" s="15">
        <v>36.18</v>
      </c>
      <c r="I43" s="15">
        <v>26.7</v>
      </c>
      <c r="J43" s="15">
        <v>18.04</v>
      </c>
      <c r="K43" s="15">
        <v>15.1</v>
      </c>
      <c r="L43" s="15">
        <v>8.49</v>
      </c>
      <c r="M43" s="15">
        <v>10.44</v>
      </c>
      <c r="N43" s="15">
        <v>12.25</v>
      </c>
      <c r="O43" s="15">
        <v>1.64</v>
      </c>
      <c r="P43" s="15">
        <v>3.67</v>
      </c>
    </row>
    <row r="44" spans="1:16" ht="15" customHeight="1" x14ac:dyDescent="0.3">
      <c r="A44" s="18" t="s">
        <v>81</v>
      </c>
      <c r="B44" s="13">
        <v>210.34</v>
      </c>
      <c r="C44" s="13">
        <v>213.51</v>
      </c>
      <c r="D44" s="13">
        <v>161.13</v>
      </c>
      <c r="E44" s="13">
        <v>165.16</v>
      </c>
      <c r="F44" s="15">
        <v>92.99</v>
      </c>
      <c r="G44" s="15">
        <v>80.599999999999994</v>
      </c>
      <c r="H44" s="15">
        <v>36.18</v>
      </c>
      <c r="I44" s="15">
        <v>26.7</v>
      </c>
      <c r="J44" s="15">
        <v>18.04</v>
      </c>
      <c r="K44" s="15">
        <v>15.1</v>
      </c>
      <c r="L44" s="15">
        <v>8.49</v>
      </c>
      <c r="M44" s="15">
        <v>10.44</v>
      </c>
      <c r="N44" s="15">
        <v>12.25</v>
      </c>
      <c r="O44" s="15">
        <v>1.64</v>
      </c>
      <c r="P44" s="15">
        <v>3.67</v>
      </c>
    </row>
    <row r="45" spans="1:16" ht="15" customHeight="1" x14ac:dyDescent="0.3">
      <c r="A45" s="12" t="s">
        <v>82</v>
      </c>
      <c r="B45" s="15">
        <v>18.420000000000002</v>
      </c>
      <c r="C45" s="23">
        <v>-2.34</v>
      </c>
      <c r="D45" s="23">
        <v>-5.87</v>
      </c>
      <c r="E45" s="15">
        <v>30.28</v>
      </c>
      <c r="F45" s="23">
        <v>-0.66</v>
      </c>
      <c r="G45" s="15">
        <v>1.69</v>
      </c>
      <c r="H45" s="23">
        <v>-1.25</v>
      </c>
      <c r="I45" s="23">
        <v>-0.17</v>
      </c>
      <c r="J45" s="23">
        <v>-0.48</v>
      </c>
      <c r="K45" s="23">
        <v>-0.3</v>
      </c>
      <c r="L45" s="15">
        <v>2.87</v>
      </c>
      <c r="M45" s="23">
        <v>-0.3</v>
      </c>
      <c r="N45" s="23">
        <v>-0.47</v>
      </c>
      <c r="O45" s="15">
        <v>0.12</v>
      </c>
      <c r="P45" s="23">
        <v>-1.22</v>
      </c>
    </row>
    <row r="46" spans="1:16" ht="15" customHeight="1" x14ac:dyDescent="0.3">
      <c r="A46" s="12" t="s">
        <v>83</v>
      </c>
      <c r="B46" s="19"/>
      <c r="C46" s="19"/>
      <c r="D46" s="19"/>
      <c r="E46" s="23">
        <v>-99.12</v>
      </c>
      <c r="F46" s="19"/>
      <c r="G46" s="19"/>
      <c r="H46" s="19"/>
      <c r="I46" s="19"/>
      <c r="J46" s="19"/>
      <c r="K46" s="19"/>
      <c r="L46" s="19"/>
      <c r="M46" s="19"/>
      <c r="N46" s="19"/>
      <c r="O46" s="19"/>
      <c r="P46" s="19"/>
    </row>
    <row r="47" spans="1:16" ht="15" customHeight="1" x14ac:dyDescent="0.3">
      <c r="A47" s="12" t="s">
        <v>84</v>
      </c>
      <c r="B47" s="15">
        <v>7.83</v>
      </c>
      <c r="C47" s="23">
        <v>-0.76</v>
      </c>
      <c r="D47" s="15">
        <v>0.66</v>
      </c>
      <c r="E47" s="23">
        <v>-15.81</v>
      </c>
      <c r="F47" s="23">
        <v>-1.47</v>
      </c>
      <c r="G47" s="23">
        <v>-5.76</v>
      </c>
      <c r="H47" s="23">
        <v>-19.63</v>
      </c>
      <c r="I47" s="23">
        <v>-11.88</v>
      </c>
      <c r="J47" s="23">
        <v>-16.98</v>
      </c>
      <c r="K47" s="23">
        <v>-60.09</v>
      </c>
      <c r="L47" s="23">
        <v>-7.69</v>
      </c>
      <c r="M47" s="23">
        <v>-11.35</v>
      </c>
      <c r="N47" s="23">
        <v>-4.75</v>
      </c>
      <c r="O47" s="23">
        <v>-0.67</v>
      </c>
      <c r="P47" s="15">
        <v>1.8</v>
      </c>
    </row>
    <row r="48" spans="1:16" ht="15" customHeight="1" x14ac:dyDescent="0.3">
      <c r="A48" s="12" t="s">
        <v>85</v>
      </c>
      <c r="B48" s="13">
        <v>243.51</v>
      </c>
      <c r="C48" s="15">
        <v>23.1</v>
      </c>
      <c r="D48" s="13">
        <v>269.52</v>
      </c>
      <c r="E48" s="13">
        <v>170.46</v>
      </c>
      <c r="F48" s="13">
        <v>227.7</v>
      </c>
      <c r="G48" s="15">
        <v>30.68</v>
      </c>
      <c r="H48" s="13">
        <v>114.63</v>
      </c>
      <c r="I48" s="23">
        <v>-0.32</v>
      </c>
      <c r="J48" s="15">
        <v>93.77</v>
      </c>
      <c r="K48" s="23">
        <v>-49.15</v>
      </c>
      <c r="L48" s="15">
        <v>19.05</v>
      </c>
      <c r="M48" s="23">
        <v>-21.99</v>
      </c>
      <c r="N48" s="15">
        <v>72.069999999999993</v>
      </c>
      <c r="O48" s="23">
        <v>-3.97</v>
      </c>
      <c r="P48" s="15">
        <v>42.39</v>
      </c>
    </row>
    <row r="49" spans="1:16" ht="15" customHeight="1" x14ac:dyDescent="0.3">
      <c r="A49" s="10" t="s">
        <v>86</v>
      </c>
      <c r="B49" s="11"/>
      <c r="C49" s="11"/>
      <c r="D49" s="11"/>
      <c r="E49" s="11"/>
      <c r="F49" s="11"/>
      <c r="G49" s="11"/>
      <c r="H49" s="11"/>
      <c r="I49" s="11"/>
      <c r="J49" s="11"/>
      <c r="K49" s="11"/>
      <c r="L49" s="11"/>
      <c r="M49" s="11"/>
      <c r="N49" s="11"/>
      <c r="O49" s="11"/>
      <c r="P49" s="11"/>
    </row>
    <row r="50" spans="1:16" ht="15" customHeight="1" x14ac:dyDescent="0.3">
      <c r="A50" s="12" t="s">
        <v>87</v>
      </c>
      <c r="B50" s="23">
        <v>-33.520000000000003</v>
      </c>
      <c r="C50" s="22">
        <v>-990.61</v>
      </c>
      <c r="D50" s="15">
        <v>6.95</v>
      </c>
      <c r="E50" s="15">
        <v>16.63</v>
      </c>
      <c r="F50" s="23">
        <v>-18.68</v>
      </c>
      <c r="G50" s="23">
        <v>-29.67</v>
      </c>
      <c r="H50" s="23">
        <v>-21.95</v>
      </c>
      <c r="I50" s="23">
        <v>-31.75</v>
      </c>
      <c r="J50" s="23">
        <v>-0.57999999999999996</v>
      </c>
      <c r="K50" s="23">
        <v>-62.6</v>
      </c>
      <c r="L50" s="23">
        <v>-9.7100000000000009</v>
      </c>
      <c r="M50" s="19"/>
      <c r="N50" s="23">
        <v>-15.16</v>
      </c>
      <c r="O50" s="23">
        <v>-21.72</v>
      </c>
      <c r="P50" s="23">
        <v>-12.68</v>
      </c>
    </row>
    <row r="51" spans="1:16" ht="15" customHeight="1" x14ac:dyDescent="0.3">
      <c r="A51" s="14" t="s">
        <v>88</v>
      </c>
      <c r="B51" s="19"/>
      <c r="C51" s="13">
        <v>952</v>
      </c>
      <c r="D51" s="19"/>
      <c r="E51" s="19"/>
      <c r="F51" s="19"/>
      <c r="G51" s="19"/>
      <c r="H51" s="15">
        <v>8.92</v>
      </c>
      <c r="I51" s="15">
        <v>35.729999999999997</v>
      </c>
      <c r="J51" s="19"/>
      <c r="K51" s="15">
        <v>24.61</v>
      </c>
      <c r="L51" s="19"/>
      <c r="M51" s="19"/>
      <c r="N51" s="19"/>
      <c r="O51" s="15">
        <v>9</v>
      </c>
      <c r="P51" s="19"/>
    </row>
    <row r="52" spans="1:16" ht="15" customHeight="1" x14ac:dyDescent="0.3">
      <c r="A52" s="18" t="s">
        <v>89</v>
      </c>
      <c r="B52" s="19"/>
      <c r="C52" s="19"/>
      <c r="D52" s="19"/>
      <c r="E52" s="19"/>
      <c r="F52" s="19"/>
      <c r="G52" s="19"/>
      <c r="H52" s="15">
        <v>8.92</v>
      </c>
      <c r="I52" s="19"/>
      <c r="J52" s="19"/>
      <c r="K52" s="19"/>
      <c r="L52" s="19"/>
      <c r="M52" s="19"/>
      <c r="N52" s="19"/>
      <c r="O52" s="15">
        <v>9</v>
      </c>
      <c r="P52" s="19"/>
    </row>
    <row r="53" spans="1:16" ht="15" customHeight="1" x14ac:dyDescent="0.3">
      <c r="A53" s="18" t="s">
        <v>90</v>
      </c>
      <c r="B53" s="19"/>
      <c r="C53" s="13">
        <v>952</v>
      </c>
      <c r="D53" s="19"/>
      <c r="E53" s="19"/>
      <c r="F53" s="19"/>
      <c r="G53" s="19"/>
      <c r="H53" s="19"/>
      <c r="I53" s="15">
        <v>35.729999999999997</v>
      </c>
      <c r="J53" s="19"/>
      <c r="K53" s="15">
        <v>24.61</v>
      </c>
      <c r="L53" s="19"/>
      <c r="M53" s="19"/>
      <c r="N53" s="19"/>
      <c r="O53" s="19"/>
      <c r="P53" s="19"/>
    </row>
    <row r="54" spans="1:16" ht="15" customHeight="1" x14ac:dyDescent="0.3">
      <c r="A54" s="14" t="s">
        <v>91</v>
      </c>
      <c r="B54" s="15">
        <v>33.53</v>
      </c>
      <c r="C54" s="15">
        <v>38.61</v>
      </c>
      <c r="D54" s="19"/>
      <c r="E54" s="15">
        <v>9.44</v>
      </c>
      <c r="F54" s="19"/>
      <c r="G54" s="15">
        <v>3.37</v>
      </c>
      <c r="H54" s="15">
        <v>8.91</v>
      </c>
      <c r="I54" s="15">
        <v>4.42</v>
      </c>
      <c r="J54" s="19"/>
      <c r="K54" s="19"/>
      <c r="L54" s="19"/>
      <c r="M54" s="19"/>
      <c r="N54" s="15">
        <v>9.34</v>
      </c>
      <c r="O54" s="15">
        <v>9.94</v>
      </c>
      <c r="P54" s="15">
        <v>12.68</v>
      </c>
    </row>
    <row r="55" spans="1:16" ht="15" customHeight="1" x14ac:dyDescent="0.3">
      <c r="A55" s="14" t="s">
        <v>92</v>
      </c>
      <c r="B55" s="19"/>
      <c r="C55" s="19"/>
      <c r="D55" s="15">
        <v>8.59</v>
      </c>
      <c r="E55" s="23">
        <v>-15.35</v>
      </c>
      <c r="F55" s="19"/>
      <c r="G55" s="19"/>
      <c r="H55" s="19"/>
      <c r="I55" s="19"/>
      <c r="J55" s="19"/>
      <c r="K55" s="19"/>
      <c r="L55" s="19"/>
      <c r="M55" s="19"/>
      <c r="N55" s="19"/>
      <c r="O55" s="19"/>
      <c r="P55" s="19"/>
    </row>
    <row r="56" spans="1:16" ht="15" customHeight="1" x14ac:dyDescent="0.3">
      <c r="A56" s="14" t="s">
        <v>93</v>
      </c>
      <c r="B56" s="19"/>
      <c r="C56" s="19"/>
      <c r="D56" s="23">
        <v>-1.64</v>
      </c>
      <c r="E56" s="15">
        <v>41.41</v>
      </c>
      <c r="F56" s="23">
        <v>-18.68</v>
      </c>
      <c r="G56" s="23">
        <v>-26.3</v>
      </c>
      <c r="H56" s="23">
        <v>-4.12</v>
      </c>
      <c r="I56" s="15">
        <v>3</v>
      </c>
      <c r="J56" s="23">
        <v>-0.57999999999999996</v>
      </c>
      <c r="K56" s="23">
        <v>-37.99</v>
      </c>
      <c r="L56" s="23">
        <v>-9.7100000000000009</v>
      </c>
      <c r="M56" s="19"/>
      <c r="N56" s="23">
        <v>-5.83</v>
      </c>
      <c r="O56" s="23">
        <v>-2.79</v>
      </c>
      <c r="P56" s="19"/>
    </row>
    <row r="57" spans="1:16" ht="15" customHeight="1" x14ac:dyDescent="0.3">
      <c r="A57" s="14" t="s">
        <v>94</v>
      </c>
      <c r="B57" s="19"/>
      <c r="C57" s="19"/>
      <c r="D57" s="19"/>
      <c r="E57" s="19"/>
      <c r="F57" s="19"/>
      <c r="G57" s="19"/>
      <c r="H57" s="19"/>
      <c r="I57" s="15">
        <v>5.4</v>
      </c>
      <c r="J57" s="19"/>
      <c r="K57" s="19"/>
      <c r="L57" s="19"/>
      <c r="M57" s="19"/>
      <c r="N57" s="19"/>
      <c r="O57" s="19"/>
      <c r="P57" s="19"/>
    </row>
    <row r="58" spans="1:16" ht="15" customHeight="1" x14ac:dyDescent="0.3">
      <c r="A58" s="10" t="s">
        <v>95</v>
      </c>
      <c r="B58" s="11"/>
      <c r="C58" s="11"/>
      <c r="D58" s="11"/>
      <c r="E58" s="11"/>
      <c r="F58" s="11"/>
      <c r="G58" s="11"/>
      <c r="H58" s="11"/>
      <c r="I58" s="11"/>
      <c r="J58" s="11"/>
      <c r="K58" s="11"/>
      <c r="L58" s="11"/>
      <c r="M58" s="11"/>
      <c r="N58" s="11"/>
      <c r="O58" s="11"/>
      <c r="P58" s="11"/>
    </row>
    <row r="59" spans="1:16" ht="15" customHeight="1" x14ac:dyDescent="0.3">
      <c r="A59" s="16" t="s">
        <v>96</v>
      </c>
      <c r="B59" s="17">
        <v>209.98</v>
      </c>
      <c r="C59" s="24">
        <v>-967.51</v>
      </c>
      <c r="D59" s="17">
        <v>276.45999999999998</v>
      </c>
      <c r="E59" s="17">
        <v>187.09</v>
      </c>
      <c r="F59" s="17">
        <v>209.02</v>
      </c>
      <c r="G59" s="20">
        <v>1</v>
      </c>
      <c r="H59" s="20">
        <v>92.67</v>
      </c>
      <c r="I59" s="21">
        <v>-32.08</v>
      </c>
      <c r="J59" s="20">
        <v>93.19</v>
      </c>
      <c r="K59" s="24">
        <v>-111.76</v>
      </c>
      <c r="L59" s="20">
        <v>9.35</v>
      </c>
      <c r="M59" s="21">
        <v>-21.99</v>
      </c>
      <c r="N59" s="20">
        <v>56.91</v>
      </c>
      <c r="O59" s="21">
        <v>-25.69</v>
      </c>
      <c r="P59" s="20">
        <v>29.71</v>
      </c>
    </row>
    <row r="60" spans="1:16" ht="15" customHeight="1" x14ac:dyDescent="0.3">
      <c r="A60" s="10" t="s">
        <v>97</v>
      </c>
      <c r="B60" s="11"/>
      <c r="C60" s="11"/>
      <c r="D60" s="11"/>
      <c r="E60" s="11"/>
      <c r="F60" s="11"/>
      <c r="G60" s="11"/>
      <c r="H60" s="11"/>
      <c r="I60" s="11"/>
      <c r="J60" s="11"/>
      <c r="K60" s="11"/>
      <c r="L60" s="11"/>
      <c r="M60" s="11"/>
      <c r="N60" s="11"/>
      <c r="O60" s="11"/>
      <c r="P60" s="11"/>
    </row>
    <row r="61" spans="1:16" ht="15" customHeight="1" x14ac:dyDescent="0.3">
      <c r="A61" s="12" t="s">
        <v>98</v>
      </c>
      <c r="B61" s="15">
        <v>63.76</v>
      </c>
      <c r="C61" s="23">
        <v>-19.73</v>
      </c>
      <c r="D61" s="15">
        <v>80.56</v>
      </c>
      <c r="E61" s="15">
        <v>71.19</v>
      </c>
      <c r="F61" s="15">
        <v>55.46</v>
      </c>
      <c r="G61" s="15">
        <v>2.92</v>
      </c>
      <c r="H61" s="15">
        <v>22.78</v>
      </c>
      <c r="I61" s="23">
        <v>-15.85</v>
      </c>
      <c r="J61" s="15">
        <v>33.270000000000003</v>
      </c>
      <c r="K61" s="23">
        <v>-37.880000000000003</v>
      </c>
      <c r="L61" s="23">
        <v>-0.11</v>
      </c>
      <c r="M61" s="23">
        <v>-11.91</v>
      </c>
      <c r="N61" s="15">
        <v>16.989999999999998</v>
      </c>
      <c r="O61" s="23">
        <v>-10</v>
      </c>
      <c r="P61" s="15">
        <v>0.84</v>
      </c>
    </row>
    <row r="62" spans="1:16" ht="15" customHeight="1" x14ac:dyDescent="0.3">
      <c r="A62" s="14" t="s">
        <v>99</v>
      </c>
      <c r="B62" s="15">
        <v>77.23</v>
      </c>
      <c r="C62" s="15">
        <v>42.22</v>
      </c>
      <c r="D62" s="15">
        <v>67.650000000000006</v>
      </c>
      <c r="E62" s="15">
        <v>61.19</v>
      </c>
      <c r="F62" s="23">
        <v>-10.65</v>
      </c>
      <c r="G62" s="15">
        <v>8.8800000000000008</v>
      </c>
      <c r="H62" s="15">
        <v>6.2</v>
      </c>
      <c r="I62" s="23">
        <v>-0.75</v>
      </c>
      <c r="J62" s="23">
        <v>-0.72</v>
      </c>
      <c r="K62" s="23">
        <v>-3.31</v>
      </c>
      <c r="L62" s="23">
        <v>-6.41</v>
      </c>
      <c r="M62" s="23">
        <v>-3.2</v>
      </c>
      <c r="N62" s="15">
        <v>8.69</v>
      </c>
      <c r="O62" s="23">
        <v>-19.79</v>
      </c>
      <c r="P62" s="23">
        <v>-24.75</v>
      </c>
    </row>
    <row r="63" spans="1:16" ht="15" customHeight="1" x14ac:dyDescent="0.3">
      <c r="A63" s="18" t="s">
        <v>100</v>
      </c>
      <c r="B63" s="15">
        <v>76.180000000000007</v>
      </c>
      <c r="C63" s="15">
        <v>42.22</v>
      </c>
      <c r="D63" s="15">
        <v>67.650000000000006</v>
      </c>
      <c r="E63" s="15">
        <v>61.24</v>
      </c>
      <c r="F63" s="23">
        <v>-10.76</v>
      </c>
      <c r="G63" s="15">
        <v>8.89</v>
      </c>
      <c r="H63" s="15">
        <v>6.2</v>
      </c>
      <c r="I63" s="23">
        <v>-0.75</v>
      </c>
      <c r="J63" s="23">
        <v>-0.72</v>
      </c>
      <c r="K63" s="23">
        <v>-3.31</v>
      </c>
      <c r="L63" s="23">
        <v>-6.41</v>
      </c>
      <c r="M63" s="23">
        <v>-3.2</v>
      </c>
      <c r="N63" s="15">
        <v>8.69</v>
      </c>
      <c r="O63" s="23">
        <v>-26.73</v>
      </c>
      <c r="P63" s="23">
        <v>-38.74</v>
      </c>
    </row>
    <row r="64" spans="1:16" ht="15" customHeight="1" x14ac:dyDescent="0.3">
      <c r="A64" s="18" t="s">
        <v>101</v>
      </c>
      <c r="B64" s="15">
        <v>1.05</v>
      </c>
      <c r="C64" s="19"/>
      <c r="D64" s="19"/>
      <c r="E64" s="23">
        <v>-0.05</v>
      </c>
      <c r="F64" s="15">
        <v>0.11</v>
      </c>
      <c r="G64" s="23">
        <v>-0.01</v>
      </c>
      <c r="H64" s="19">
        <v>0</v>
      </c>
      <c r="I64" s="19"/>
      <c r="J64" s="19"/>
      <c r="K64" s="19"/>
      <c r="L64" s="19"/>
      <c r="M64" s="19"/>
      <c r="N64" s="19"/>
      <c r="O64" s="19"/>
      <c r="P64" s="19"/>
    </row>
    <row r="65" spans="1:16" ht="15" customHeight="1" x14ac:dyDescent="0.3">
      <c r="A65" s="18" t="s">
        <v>102</v>
      </c>
      <c r="B65" s="19"/>
      <c r="C65" s="19"/>
      <c r="D65" s="19"/>
      <c r="E65" s="19"/>
      <c r="F65" s="19"/>
      <c r="G65" s="19"/>
      <c r="H65" s="19"/>
      <c r="I65" s="19"/>
      <c r="J65" s="19"/>
      <c r="K65" s="19"/>
      <c r="L65" s="19"/>
      <c r="M65" s="19"/>
      <c r="N65" s="19"/>
      <c r="O65" s="15">
        <v>6.95</v>
      </c>
      <c r="P65" s="15">
        <v>13.99</v>
      </c>
    </row>
    <row r="66" spans="1:16" ht="15" customHeight="1" x14ac:dyDescent="0.3">
      <c r="A66" s="14" t="s">
        <v>103</v>
      </c>
      <c r="B66" s="23">
        <v>-13.47</v>
      </c>
      <c r="C66" s="23">
        <v>-61.94</v>
      </c>
      <c r="D66" s="15">
        <v>12.91</v>
      </c>
      <c r="E66" s="15">
        <v>10</v>
      </c>
      <c r="F66" s="15">
        <v>66.11</v>
      </c>
      <c r="G66" s="23">
        <v>-5.96</v>
      </c>
      <c r="H66" s="15">
        <v>16.579999999999998</v>
      </c>
      <c r="I66" s="23">
        <v>-15.11</v>
      </c>
      <c r="J66" s="15">
        <v>33.99</v>
      </c>
      <c r="K66" s="23">
        <v>-34.58</v>
      </c>
      <c r="L66" s="15">
        <v>6.3</v>
      </c>
      <c r="M66" s="23">
        <v>-8.7100000000000009</v>
      </c>
      <c r="N66" s="15">
        <v>8.3000000000000007</v>
      </c>
      <c r="O66" s="15">
        <v>9.7899999999999991</v>
      </c>
      <c r="P66" s="15">
        <v>25.59</v>
      </c>
    </row>
    <row r="67" spans="1:16" ht="15" customHeight="1" x14ac:dyDescent="0.3">
      <c r="A67" s="18" t="s">
        <v>104</v>
      </c>
      <c r="B67" s="23">
        <v>-13.44</v>
      </c>
      <c r="C67" s="23">
        <v>-60.75</v>
      </c>
      <c r="D67" s="15">
        <v>13.65</v>
      </c>
      <c r="E67" s="15">
        <v>9.6999999999999993</v>
      </c>
      <c r="F67" s="15">
        <v>66.66</v>
      </c>
      <c r="G67" s="23">
        <v>-6.14</v>
      </c>
      <c r="H67" s="15">
        <v>16.59</v>
      </c>
      <c r="I67" s="23">
        <v>-15.11</v>
      </c>
      <c r="J67" s="15">
        <v>33.99</v>
      </c>
      <c r="K67" s="23">
        <v>-34.58</v>
      </c>
      <c r="L67" s="15">
        <v>6.4</v>
      </c>
      <c r="M67" s="23">
        <v>-7.8</v>
      </c>
      <c r="N67" s="15">
        <v>7.19</v>
      </c>
      <c r="O67" s="15">
        <v>16.64</v>
      </c>
      <c r="P67" s="15">
        <v>28.27</v>
      </c>
    </row>
    <row r="68" spans="1:16" ht="15" customHeight="1" x14ac:dyDescent="0.3">
      <c r="A68" s="18" t="s">
        <v>105</v>
      </c>
      <c r="B68" s="23">
        <v>-0.03</v>
      </c>
      <c r="C68" s="23">
        <v>-1.19</v>
      </c>
      <c r="D68" s="23">
        <v>-0.74</v>
      </c>
      <c r="E68" s="15">
        <v>0.28999999999999998</v>
      </c>
      <c r="F68" s="23">
        <v>-0.55000000000000004</v>
      </c>
      <c r="G68" s="15">
        <v>0.18</v>
      </c>
      <c r="H68" s="25">
        <v>0</v>
      </c>
      <c r="I68" s="19"/>
      <c r="J68" s="19"/>
      <c r="K68" s="19"/>
      <c r="L68" s="19"/>
      <c r="M68" s="19"/>
      <c r="N68" s="19"/>
      <c r="O68" s="19"/>
      <c r="P68" s="19"/>
    </row>
    <row r="69" spans="1:16" ht="15" customHeight="1" x14ac:dyDescent="0.3">
      <c r="A69" s="18" t="s">
        <v>106</v>
      </c>
      <c r="B69" s="19"/>
      <c r="C69" s="19"/>
      <c r="D69" s="19"/>
      <c r="E69" s="19"/>
      <c r="F69" s="19"/>
      <c r="G69" s="19"/>
      <c r="H69" s="19"/>
      <c r="I69" s="19"/>
      <c r="J69" s="19"/>
      <c r="K69" s="19"/>
      <c r="L69" s="23">
        <v>-0.1</v>
      </c>
      <c r="M69" s="23">
        <v>-0.91</v>
      </c>
      <c r="N69" s="15">
        <v>1.1100000000000001</v>
      </c>
      <c r="O69" s="23">
        <v>-6.85</v>
      </c>
      <c r="P69" s="23">
        <v>-2.68</v>
      </c>
    </row>
    <row r="70" spans="1:16" ht="15" customHeight="1" x14ac:dyDescent="0.3">
      <c r="A70" s="10" t="s">
        <v>107</v>
      </c>
      <c r="B70" s="11"/>
      <c r="C70" s="11"/>
      <c r="D70" s="11"/>
      <c r="E70" s="11"/>
      <c r="F70" s="11"/>
      <c r="G70" s="11"/>
      <c r="H70" s="11"/>
      <c r="I70" s="11"/>
      <c r="J70" s="11"/>
      <c r="K70" s="11"/>
      <c r="L70" s="11"/>
      <c r="M70" s="11"/>
      <c r="N70" s="11"/>
      <c r="O70" s="11"/>
      <c r="P70" s="11"/>
    </row>
    <row r="71" spans="1:16" ht="15" customHeight="1" x14ac:dyDescent="0.3">
      <c r="A71" s="12" t="s">
        <v>108</v>
      </c>
      <c r="B71" s="13">
        <v>146.22</v>
      </c>
      <c r="C71" s="22">
        <v>-947.78</v>
      </c>
      <c r="D71" s="13">
        <v>195.9</v>
      </c>
      <c r="E71" s="13">
        <v>115.9</v>
      </c>
      <c r="F71" s="13">
        <v>153.56</v>
      </c>
      <c r="G71" s="23">
        <v>-1.91</v>
      </c>
      <c r="H71" s="15">
        <v>69.89</v>
      </c>
      <c r="I71" s="23">
        <v>-16.22</v>
      </c>
      <c r="J71" s="15">
        <v>59.92</v>
      </c>
      <c r="K71" s="23">
        <v>-73.87</v>
      </c>
      <c r="L71" s="15">
        <v>9.4600000000000009</v>
      </c>
      <c r="M71" s="23">
        <v>-10.09</v>
      </c>
      <c r="N71" s="15">
        <v>39.92</v>
      </c>
      <c r="O71" s="23">
        <v>-15.69</v>
      </c>
      <c r="P71" s="15">
        <v>28.87</v>
      </c>
    </row>
    <row r="72" spans="1:16" ht="15" customHeight="1" x14ac:dyDescent="0.3">
      <c r="A72" s="10" t="s">
        <v>109</v>
      </c>
      <c r="B72" s="11"/>
      <c r="C72" s="11"/>
      <c r="D72" s="11"/>
      <c r="E72" s="11"/>
      <c r="F72" s="11"/>
      <c r="G72" s="11"/>
      <c r="H72" s="11"/>
      <c r="I72" s="11"/>
      <c r="J72" s="11"/>
      <c r="K72" s="11"/>
      <c r="L72" s="11"/>
      <c r="M72" s="11"/>
      <c r="N72" s="11"/>
      <c r="O72" s="11"/>
      <c r="P72" s="11"/>
    </row>
    <row r="73" spans="1:16" ht="15" customHeight="1" x14ac:dyDescent="0.3">
      <c r="A73" s="16" t="s">
        <v>110</v>
      </c>
      <c r="B73" s="17">
        <v>146.22</v>
      </c>
      <c r="C73" s="24">
        <v>-947.78</v>
      </c>
      <c r="D73" s="17">
        <v>195.9</v>
      </c>
      <c r="E73" s="17">
        <v>115.9</v>
      </c>
      <c r="F73" s="17">
        <v>153.56</v>
      </c>
      <c r="G73" s="21">
        <v>-1.91</v>
      </c>
      <c r="H73" s="20">
        <v>69.89</v>
      </c>
      <c r="I73" s="21">
        <v>-16.22</v>
      </c>
      <c r="J73" s="20">
        <v>59.92</v>
      </c>
      <c r="K73" s="21">
        <v>-73.87</v>
      </c>
      <c r="L73" s="20">
        <v>9.4600000000000009</v>
      </c>
      <c r="M73" s="21">
        <v>-10.09</v>
      </c>
      <c r="N73" s="20">
        <v>39.92</v>
      </c>
      <c r="O73" s="21">
        <v>-15.69</v>
      </c>
      <c r="P73" s="20">
        <v>28.87</v>
      </c>
    </row>
    <row r="74" spans="1:16" ht="15" customHeight="1" x14ac:dyDescent="0.3">
      <c r="A74" s="12" t="s">
        <v>111</v>
      </c>
      <c r="B74" s="19"/>
      <c r="C74" s="19"/>
      <c r="D74" s="19"/>
      <c r="E74" s="15">
        <v>6.81</v>
      </c>
      <c r="F74" s="13">
        <v>115.77</v>
      </c>
      <c r="G74" s="23">
        <v>-16.46</v>
      </c>
      <c r="H74" s="23">
        <v>-50.14</v>
      </c>
      <c r="I74" s="15">
        <v>1.61</v>
      </c>
      <c r="J74" s="15">
        <v>7.31</v>
      </c>
      <c r="K74" s="23">
        <v>-8.6</v>
      </c>
      <c r="L74" s="15">
        <v>1.07</v>
      </c>
      <c r="M74" s="15">
        <v>9.61</v>
      </c>
      <c r="N74" s="19"/>
      <c r="O74" s="19"/>
      <c r="P74" s="13">
        <v>101.54</v>
      </c>
    </row>
    <row r="75" spans="1:16" ht="15" customHeight="1" x14ac:dyDescent="0.3">
      <c r="A75" s="14" t="s">
        <v>112</v>
      </c>
      <c r="B75" s="19"/>
      <c r="C75" s="19"/>
      <c r="D75" s="19"/>
      <c r="E75" s="15">
        <v>6.81</v>
      </c>
      <c r="F75" s="13">
        <v>115.77</v>
      </c>
      <c r="G75" s="23">
        <v>-16.46</v>
      </c>
      <c r="H75" s="23">
        <v>-50.14</v>
      </c>
      <c r="I75" s="23">
        <v>-2.59</v>
      </c>
      <c r="J75" s="15">
        <v>7.31</v>
      </c>
      <c r="K75" s="23">
        <v>-8.6</v>
      </c>
      <c r="L75" s="15">
        <v>1.07</v>
      </c>
      <c r="M75" s="15">
        <v>9.61</v>
      </c>
      <c r="N75" s="19"/>
      <c r="O75" s="19"/>
      <c r="P75" s="13">
        <v>101.54</v>
      </c>
    </row>
    <row r="76" spans="1:16" ht="15" customHeight="1" x14ac:dyDescent="0.3">
      <c r="A76" s="18" t="s">
        <v>113</v>
      </c>
      <c r="B76" s="19"/>
      <c r="C76" s="19"/>
      <c r="D76" s="19"/>
      <c r="E76" s="19"/>
      <c r="F76" s="19"/>
      <c r="G76" s="23">
        <v>-16.46</v>
      </c>
      <c r="H76" s="23">
        <v>-50.14</v>
      </c>
      <c r="I76" s="19"/>
      <c r="J76" s="19"/>
      <c r="K76" s="23">
        <v>-8.6</v>
      </c>
      <c r="L76" s="15">
        <v>1.07</v>
      </c>
      <c r="M76" s="15">
        <v>9.61</v>
      </c>
      <c r="N76" s="19"/>
      <c r="O76" s="19"/>
      <c r="P76" s="13">
        <v>101.54</v>
      </c>
    </row>
    <row r="77" spans="1:16" ht="15" customHeight="1" x14ac:dyDescent="0.3">
      <c r="A77" s="18" t="s">
        <v>114</v>
      </c>
      <c r="B77" s="19"/>
      <c r="C77" s="19"/>
      <c r="D77" s="19"/>
      <c r="E77" s="15">
        <v>8.9700000000000006</v>
      </c>
      <c r="F77" s="13">
        <v>150.22999999999999</v>
      </c>
      <c r="G77" s="19"/>
      <c r="H77" s="19"/>
      <c r="I77" s="15">
        <v>0.4</v>
      </c>
      <c r="J77" s="15">
        <v>12.78</v>
      </c>
      <c r="K77" s="19"/>
      <c r="L77" s="19"/>
      <c r="M77" s="19"/>
      <c r="N77" s="19"/>
      <c r="O77" s="19"/>
      <c r="P77" s="19"/>
    </row>
    <row r="78" spans="1:16" ht="15" customHeight="1" x14ac:dyDescent="0.3">
      <c r="A78" s="26" t="s">
        <v>115</v>
      </c>
      <c r="B78" s="19"/>
      <c r="C78" s="19"/>
      <c r="D78" s="19"/>
      <c r="E78" s="15">
        <v>8.9700000000000006</v>
      </c>
      <c r="F78" s="13">
        <v>150.22999999999999</v>
      </c>
      <c r="G78" s="19"/>
      <c r="H78" s="19"/>
      <c r="I78" s="15">
        <v>0.4</v>
      </c>
      <c r="J78" s="15">
        <v>12.78</v>
      </c>
      <c r="K78" s="19"/>
      <c r="L78" s="19"/>
      <c r="M78" s="19"/>
      <c r="N78" s="19"/>
      <c r="O78" s="19"/>
      <c r="P78" s="19"/>
    </row>
    <row r="79" spans="1:16" ht="15" customHeight="1" x14ac:dyDescent="0.3">
      <c r="A79" s="18" t="s">
        <v>116</v>
      </c>
      <c r="B79" s="19"/>
      <c r="C79" s="19"/>
      <c r="D79" s="19"/>
      <c r="E79" s="23">
        <v>-2.16</v>
      </c>
      <c r="F79" s="23">
        <v>-34.46</v>
      </c>
      <c r="G79" s="19"/>
      <c r="H79" s="19"/>
      <c r="I79" s="23">
        <v>-3</v>
      </c>
      <c r="J79" s="23">
        <v>-5.46</v>
      </c>
      <c r="K79" s="19"/>
      <c r="L79" s="19"/>
      <c r="M79" s="19"/>
      <c r="N79" s="19"/>
      <c r="O79" s="19"/>
      <c r="P79" s="19"/>
    </row>
    <row r="80" spans="1:16" ht="15" customHeight="1" x14ac:dyDescent="0.3">
      <c r="A80" s="14" t="s">
        <v>117</v>
      </c>
      <c r="B80" s="19"/>
      <c r="C80" s="19"/>
      <c r="D80" s="19"/>
      <c r="E80" s="19"/>
      <c r="F80" s="19"/>
      <c r="G80" s="19"/>
      <c r="H80" s="19"/>
      <c r="I80" s="15">
        <v>4.2</v>
      </c>
      <c r="J80" s="19"/>
      <c r="K80" s="19"/>
      <c r="L80" s="19"/>
      <c r="M80" s="19"/>
      <c r="N80" s="19"/>
      <c r="O80" s="19"/>
      <c r="P80" s="19"/>
    </row>
    <row r="81" spans="1:16" ht="15" customHeight="1" x14ac:dyDescent="0.3">
      <c r="A81" s="12" t="s">
        <v>118</v>
      </c>
      <c r="B81" s="13">
        <v>146.22</v>
      </c>
      <c r="C81" s="22">
        <v>-947.78</v>
      </c>
      <c r="D81" s="13">
        <v>195.9</v>
      </c>
      <c r="E81" s="13">
        <v>122.71</v>
      </c>
      <c r="F81" s="13">
        <v>269.33</v>
      </c>
      <c r="G81" s="23">
        <v>-18.38</v>
      </c>
      <c r="H81" s="15">
        <v>19.75</v>
      </c>
      <c r="I81" s="23">
        <v>-14.62</v>
      </c>
      <c r="J81" s="15">
        <v>67.239999999999995</v>
      </c>
      <c r="K81" s="23">
        <v>-82.48</v>
      </c>
      <c r="L81" s="15">
        <v>10.53</v>
      </c>
      <c r="M81" s="23">
        <v>-0.47</v>
      </c>
      <c r="N81" s="15">
        <v>39.92</v>
      </c>
      <c r="O81" s="23">
        <v>-15.69</v>
      </c>
      <c r="P81" s="13">
        <v>130.41</v>
      </c>
    </row>
    <row r="82" spans="1:16" ht="15" customHeight="1" x14ac:dyDescent="0.3">
      <c r="A82" s="12" t="s">
        <v>119</v>
      </c>
      <c r="B82" s="19"/>
      <c r="C82" s="19"/>
      <c r="D82" s="19"/>
      <c r="E82" s="19"/>
      <c r="F82" s="19"/>
      <c r="G82" s="19"/>
      <c r="H82" s="23">
        <v>-0.63</v>
      </c>
      <c r="I82" s="23">
        <v>-1.51</v>
      </c>
      <c r="J82" s="19"/>
      <c r="K82" s="19"/>
      <c r="L82" s="19"/>
      <c r="M82" s="19"/>
      <c r="N82" s="23">
        <v>-0.27</v>
      </c>
      <c r="O82" s="23">
        <v>-0.15</v>
      </c>
      <c r="P82" s="23">
        <v>-0.1</v>
      </c>
    </row>
    <row r="83" spans="1:16" ht="15" customHeight="1" x14ac:dyDescent="0.3">
      <c r="A83" s="12" t="s">
        <v>120</v>
      </c>
      <c r="B83" s="13">
        <v>146.22</v>
      </c>
      <c r="C83" s="22">
        <v>-947.78</v>
      </c>
      <c r="D83" s="13">
        <v>195.9</v>
      </c>
      <c r="E83" s="13">
        <v>122.71</v>
      </c>
      <c r="F83" s="13">
        <v>269.33</v>
      </c>
      <c r="G83" s="23">
        <v>-18.38</v>
      </c>
      <c r="H83" s="15">
        <v>20.38</v>
      </c>
      <c r="I83" s="23">
        <v>-13.11</v>
      </c>
      <c r="J83" s="15">
        <v>67.239999999999995</v>
      </c>
      <c r="K83" s="23">
        <v>-82.48</v>
      </c>
      <c r="L83" s="15">
        <v>10.53</v>
      </c>
      <c r="M83" s="23">
        <v>-0.47</v>
      </c>
      <c r="N83" s="15">
        <v>40.19</v>
      </c>
      <c r="O83" s="23">
        <v>-15.54</v>
      </c>
      <c r="P83" s="13">
        <v>130.51</v>
      </c>
    </row>
    <row r="84" spans="1:16" ht="15" customHeight="1" x14ac:dyDescent="0.3">
      <c r="A84" s="10" t="s">
        <v>121</v>
      </c>
      <c r="B84" s="11"/>
      <c r="C84" s="11"/>
      <c r="D84" s="11"/>
      <c r="E84" s="11"/>
      <c r="F84" s="11"/>
      <c r="G84" s="11"/>
      <c r="H84" s="11"/>
      <c r="I84" s="11"/>
      <c r="J84" s="11"/>
      <c r="K84" s="11"/>
      <c r="L84" s="11"/>
      <c r="M84" s="11"/>
      <c r="N84" s="11"/>
      <c r="O84" s="11"/>
      <c r="P84" s="11"/>
    </row>
    <row r="85" spans="1:16" ht="15" customHeight="1" x14ac:dyDescent="0.3">
      <c r="A85" s="12" t="s">
        <v>122</v>
      </c>
      <c r="B85" s="15">
        <v>58.62</v>
      </c>
      <c r="C85" s="15">
        <v>50.31</v>
      </c>
      <c r="D85" s="15">
        <v>50.31</v>
      </c>
      <c r="E85" s="15">
        <v>49.37</v>
      </c>
      <c r="F85" s="19"/>
      <c r="G85" s="19"/>
      <c r="H85" s="19"/>
      <c r="I85" s="19"/>
      <c r="J85" s="19"/>
      <c r="K85" s="19"/>
      <c r="L85" s="19"/>
      <c r="M85" s="19"/>
      <c r="N85" s="19"/>
      <c r="O85" s="19"/>
      <c r="P85" s="15">
        <v>14.6</v>
      </c>
    </row>
    <row r="86" spans="1:16" ht="15" customHeight="1" x14ac:dyDescent="0.3">
      <c r="A86" s="12" t="s">
        <v>123</v>
      </c>
      <c r="B86" s="19"/>
      <c r="C86" s="19"/>
      <c r="D86" s="15">
        <v>3.66</v>
      </c>
      <c r="E86" s="19"/>
      <c r="F86" s="15">
        <v>3.71</v>
      </c>
      <c r="G86" s="19"/>
      <c r="H86" s="15">
        <v>1.1299999999999999</v>
      </c>
      <c r="I86" s="19"/>
      <c r="J86" s="15">
        <v>0.82</v>
      </c>
      <c r="K86" s="19"/>
      <c r="L86" s="19"/>
      <c r="M86" s="19"/>
      <c r="N86" s="19"/>
      <c r="O86" s="19"/>
      <c r="P86" s="19"/>
    </row>
    <row r="87" spans="1:16" ht="15" customHeight="1" x14ac:dyDescent="0.3">
      <c r="A87" s="16" t="s">
        <v>124</v>
      </c>
      <c r="B87" s="20">
        <v>87.6</v>
      </c>
      <c r="C87" s="24">
        <v>-998.09</v>
      </c>
      <c r="D87" s="17">
        <v>141.94</v>
      </c>
      <c r="E87" s="20">
        <v>73.34</v>
      </c>
      <c r="F87" s="17">
        <v>265.62</v>
      </c>
      <c r="G87" s="21">
        <v>-18.38</v>
      </c>
      <c r="H87" s="20">
        <v>19.25</v>
      </c>
      <c r="I87" s="21">
        <v>-13.11</v>
      </c>
      <c r="J87" s="20">
        <v>66.42</v>
      </c>
      <c r="K87" s="21">
        <v>-82.48</v>
      </c>
      <c r="L87" s="20">
        <v>10.53</v>
      </c>
      <c r="M87" s="21">
        <v>-0.47</v>
      </c>
      <c r="N87" s="20">
        <v>40.19</v>
      </c>
      <c r="O87" s="21">
        <v>-15.54</v>
      </c>
      <c r="P87" s="17">
        <v>115.91</v>
      </c>
    </row>
    <row r="88" spans="1:16" ht="15" customHeight="1" x14ac:dyDescent="0.3">
      <c r="A88" s="10" t="s">
        <v>125</v>
      </c>
      <c r="B88" s="11"/>
      <c r="C88" s="11"/>
      <c r="D88" s="11"/>
      <c r="E88" s="11"/>
      <c r="F88" s="11"/>
      <c r="G88" s="11"/>
      <c r="H88" s="11"/>
      <c r="I88" s="11"/>
      <c r="J88" s="11"/>
      <c r="K88" s="11"/>
      <c r="L88" s="11"/>
      <c r="M88" s="11"/>
      <c r="N88" s="11"/>
      <c r="O88" s="11"/>
      <c r="P88" s="11"/>
    </row>
    <row r="89" spans="1:16" ht="15" customHeight="1" x14ac:dyDescent="0.3">
      <c r="A89" s="12" t="s">
        <v>126</v>
      </c>
      <c r="B89" s="13">
        <v>146.22</v>
      </c>
      <c r="C89" s="22">
        <v>-947.78</v>
      </c>
      <c r="D89" s="13">
        <v>195.9</v>
      </c>
      <c r="E89" s="13">
        <v>122.71</v>
      </c>
      <c r="F89" s="13">
        <v>269.33</v>
      </c>
      <c r="G89" s="23">
        <v>-18.38</v>
      </c>
      <c r="H89" s="15">
        <v>19.75</v>
      </c>
      <c r="I89" s="23">
        <v>-14.62</v>
      </c>
      <c r="J89" s="15">
        <v>67.239999999999995</v>
      </c>
      <c r="K89" s="23">
        <v>-82.48</v>
      </c>
      <c r="L89" s="15">
        <v>10.53</v>
      </c>
      <c r="M89" s="23">
        <v>-0.47</v>
      </c>
      <c r="N89" s="15">
        <v>39.92</v>
      </c>
      <c r="O89" s="23">
        <v>-15.69</v>
      </c>
      <c r="P89" s="19"/>
    </row>
    <row r="90" spans="1:16" ht="15" customHeight="1" x14ac:dyDescent="0.3">
      <c r="A90" s="12" t="s">
        <v>127</v>
      </c>
      <c r="B90" s="19"/>
      <c r="C90" s="19"/>
      <c r="D90" s="19"/>
      <c r="E90" s="19"/>
      <c r="F90" s="19"/>
      <c r="G90" s="19"/>
      <c r="H90" s="19"/>
      <c r="I90" s="19"/>
      <c r="J90" s="15">
        <v>0.24</v>
      </c>
      <c r="K90" s="15">
        <v>0.24</v>
      </c>
      <c r="L90" s="15">
        <v>0.24</v>
      </c>
      <c r="M90" s="15">
        <v>0.28999999999999998</v>
      </c>
      <c r="N90" s="23">
        <v>-1.01</v>
      </c>
      <c r="O90" s="19"/>
      <c r="P90" s="19"/>
    </row>
    <row r="91" spans="1:16" ht="15" customHeight="1" x14ac:dyDescent="0.3">
      <c r="A91" s="12" t="s">
        <v>128</v>
      </c>
      <c r="B91" s="23">
        <v>-0.09</v>
      </c>
      <c r="C91" s="23">
        <v>-0.12</v>
      </c>
      <c r="D91" s="15">
        <v>0.05</v>
      </c>
      <c r="E91" s="15">
        <v>0.13</v>
      </c>
      <c r="F91" s="23">
        <v>-7.0000000000000007E-2</v>
      </c>
      <c r="G91" s="23">
        <v>-0.22</v>
      </c>
      <c r="H91" s="23">
        <v>-0.06</v>
      </c>
      <c r="I91" s="23">
        <v>-0.35</v>
      </c>
      <c r="J91" s="15">
        <v>0.15</v>
      </c>
      <c r="K91" s="15">
        <v>0.25</v>
      </c>
      <c r="L91" s="23">
        <v>-0.26</v>
      </c>
      <c r="M91" s="23">
        <v>-0.18</v>
      </c>
      <c r="N91" s="23">
        <v>-0.27</v>
      </c>
      <c r="O91" s="15">
        <v>0.73</v>
      </c>
      <c r="P91" s="15">
        <v>0.33</v>
      </c>
    </row>
    <row r="92" spans="1:16" ht="15" customHeight="1" x14ac:dyDescent="0.3">
      <c r="A92" s="12" t="s">
        <v>129</v>
      </c>
      <c r="B92" s="15">
        <v>0.28999999999999998</v>
      </c>
      <c r="C92" s="15">
        <v>2.08</v>
      </c>
      <c r="D92" s="23">
        <v>-3.61</v>
      </c>
      <c r="E92" s="15">
        <v>26.08</v>
      </c>
      <c r="F92" s="23">
        <v>-1.05</v>
      </c>
      <c r="G92" s="23">
        <v>-3.37</v>
      </c>
      <c r="H92" s="15">
        <v>7.59</v>
      </c>
      <c r="I92" s="15">
        <v>10.15</v>
      </c>
      <c r="J92" s="23">
        <v>-3.94</v>
      </c>
      <c r="K92" s="15">
        <v>33.83</v>
      </c>
      <c r="L92" s="23">
        <v>-45.5</v>
      </c>
      <c r="M92" s="15">
        <v>35.81</v>
      </c>
      <c r="N92" s="23">
        <v>-18.010000000000002</v>
      </c>
      <c r="O92" s="23">
        <v>-16.73</v>
      </c>
      <c r="P92" s="15">
        <v>10.210000000000001</v>
      </c>
    </row>
    <row r="93" spans="1:16" ht="15" customHeight="1" x14ac:dyDescent="0.3">
      <c r="A93" s="12" t="s">
        <v>130</v>
      </c>
      <c r="B93" s="15">
        <v>0.2</v>
      </c>
      <c r="C93" s="15">
        <v>1.96</v>
      </c>
      <c r="D93" s="23">
        <v>-3.56</v>
      </c>
      <c r="E93" s="15">
        <v>26.21</v>
      </c>
      <c r="F93" s="23">
        <v>-1.1299999999999999</v>
      </c>
      <c r="G93" s="23">
        <v>-3.59</v>
      </c>
      <c r="H93" s="15">
        <v>7.53</v>
      </c>
      <c r="I93" s="15">
        <v>9.8000000000000007</v>
      </c>
      <c r="J93" s="23">
        <v>-3.54</v>
      </c>
      <c r="K93" s="15">
        <v>34.32</v>
      </c>
      <c r="L93" s="23">
        <v>-45.52</v>
      </c>
      <c r="M93" s="15">
        <v>35.92</v>
      </c>
      <c r="N93" s="23">
        <v>-19.29</v>
      </c>
      <c r="O93" s="23">
        <v>-16</v>
      </c>
      <c r="P93" s="15">
        <v>10.55</v>
      </c>
    </row>
    <row r="94" spans="1:16" ht="15" customHeight="1" x14ac:dyDescent="0.3">
      <c r="A94" s="16" t="s">
        <v>131</v>
      </c>
      <c r="B94" s="17">
        <v>146.41999999999999</v>
      </c>
      <c r="C94" s="24">
        <v>-945.82</v>
      </c>
      <c r="D94" s="17">
        <v>192.34</v>
      </c>
      <c r="E94" s="17">
        <v>148.91999999999999</v>
      </c>
      <c r="F94" s="17">
        <v>268.2</v>
      </c>
      <c r="G94" s="21">
        <v>-21.97</v>
      </c>
      <c r="H94" s="20">
        <v>27.27</v>
      </c>
      <c r="I94" s="21">
        <v>-4.82</v>
      </c>
      <c r="J94" s="20">
        <v>63.69</v>
      </c>
      <c r="K94" s="21">
        <v>-48.16</v>
      </c>
      <c r="L94" s="21">
        <v>-34.99</v>
      </c>
      <c r="M94" s="20">
        <v>35.44</v>
      </c>
      <c r="N94" s="20">
        <v>20.63</v>
      </c>
      <c r="O94" s="21">
        <v>-31.69</v>
      </c>
      <c r="P94" s="17">
        <v>141.05000000000001</v>
      </c>
    </row>
    <row r="95" spans="1:16" ht="15" customHeight="1" x14ac:dyDescent="0.3">
      <c r="A95" s="12" t="s">
        <v>132</v>
      </c>
      <c r="B95" s="19"/>
      <c r="C95" s="19"/>
      <c r="D95" s="19"/>
      <c r="E95" s="19"/>
      <c r="F95" s="19"/>
      <c r="G95" s="19"/>
      <c r="H95" s="23">
        <v>-0.63</v>
      </c>
      <c r="I95" s="23">
        <v>-1.51</v>
      </c>
      <c r="J95" s="19"/>
      <c r="K95" s="19"/>
      <c r="L95" s="19"/>
      <c r="M95" s="19"/>
      <c r="N95" s="23">
        <v>-0.27</v>
      </c>
      <c r="O95" s="23">
        <v>-0.15</v>
      </c>
      <c r="P95" s="23">
        <v>-0.1</v>
      </c>
    </row>
    <row r="96" spans="1:16" ht="15" customHeight="1" x14ac:dyDescent="0.3">
      <c r="A96" s="12" t="s">
        <v>133</v>
      </c>
      <c r="B96" s="13">
        <v>146.41999999999999</v>
      </c>
      <c r="C96" s="22">
        <v>-945.82</v>
      </c>
      <c r="D96" s="13">
        <v>192.34</v>
      </c>
      <c r="E96" s="13">
        <v>148.91999999999999</v>
      </c>
      <c r="F96" s="13">
        <v>268.2</v>
      </c>
      <c r="G96" s="23">
        <v>-21.97</v>
      </c>
      <c r="H96" s="15">
        <v>27.91</v>
      </c>
      <c r="I96" s="23">
        <v>-3.31</v>
      </c>
      <c r="J96" s="15">
        <v>63.69</v>
      </c>
      <c r="K96" s="23">
        <v>-48.16</v>
      </c>
      <c r="L96" s="23">
        <v>-34.99</v>
      </c>
      <c r="M96" s="15">
        <v>35.44</v>
      </c>
      <c r="N96" s="15">
        <v>20.9</v>
      </c>
      <c r="O96" s="23">
        <v>-31.54</v>
      </c>
      <c r="P96" s="13">
        <v>141.05000000000001</v>
      </c>
    </row>
    <row r="97" spans="1:16" ht="15" customHeight="1" x14ac:dyDescent="0.3">
      <c r="A97" s="10" t="s">
        <v>134</v>
      </c>
      <c r="B97" s="11"/>
      <c r="C97" s="11"/>
      <c r="D97" s="11"/>
      <c r="E97" s="11"/>
      <c r="F97" s="11"/>
      <c r="G97" s="11"/>
      <c r="H97" s="11"/>
      <c r="I97" s="11"/>
      <c r="J97" s="11"/>
      <c r="K97" s="11"/>
      <c r="L97" s="11"/>
      <c r="M97" s="11"/>
      <c r="N97" s="11"/>
      <c r="O97" s="11"/>
      <c r="P97" s="11"/>
    </row>
    <row r="98" spans="1:16" ht="15" customHeight="1" x14ac:dyDescent="0.3">
      <c r="A98" s="12" t="s">
        <v>135</v>
      </c>
      <c r="B98" s="15">
        <v>87.6</v>
      </c>
      <c r="C98" s="22">
        <v>-998.09</v>
      </c>
      <c r="D98" s="13">
        <v>141.94</v>
      </c>
      <c r="E98" s="15">
        <v>73.34</v>
      </c>
      <c r="F98" s="13">
        <v>265.62</v>
      </c>
      <c r="G98" s="23">
        <v>-18.38</v>
      </c>
      <c r="H98" s="15">
        <v>19.25</v>
      </c>
      <c r="I98" s="23">
        <v>-13.11</v>
      </c>
      <c r="J98" s="15">
        <v>66.42</v>
      </c>
      <c r="K98" s="23">
        <v>-82.48</v>
      </c>
      <c r="L98" s="15">
        <v>10.53</v>
      </c>
      <c r="M98" s="23">
        <v>-0.47</v>
      </c>
      <c r="N98" s="15">
        <v>40.19</v>
      </c>
      <c r="O98" s="23">
        <v>-15.54</v>
      </c>
      <c r="P98" s="13">
        <v>115.91</v>
      </c>
    </row>
    <row r="99" spans="1:16" ht="15" customHeight="1" x14ac:dyDescent="0.3">
      <c r="A99" s="14" t="s">
        <v>136</v>
      </c>
      <c r="B99" s="15">
        <v>87.6</v>
      </c>
      <c r="C99" s="22">
        <v>-998.09</v>
      </c>
      <c r="D99" s="13">
        <v>141.94</v>
      </c>
      <c r="E99" s="15">
        <v>66.53</v>
      </c>
      <c r="F99" s="13">
        <v>149.85</v>
      </c>
      <c r="G99" s="23">
        <v>-1.91</v>
      </c>
      <c r="H99" s="15">
        <v>69.39</v>
      </c>
      <c r="I99" s="23">
        <v>-14.71</v>
      </c>
      <c r="J99" s="15">
        <v>59.11</v>
      </c>
      <c r="K99" s="23">
        <v>-73.87</v>
      </c>
      <c r="L99" s="15">
        <v>9.4600000000000009</v>
      </c>
      <c r="M99" s="23">
        <v>-10.09</v>
      </c>
      <c r="N99" s="15">
        <v>40.19</v>
      </c>
      <c r="O99" s="23">
        <v>-15.54</v>
      </c>
      <c r="P99" s="15">
        <v>14.37</v>
      </c>
    </row>
    <row r="100" spans="1:16" ht="15" customHeight="1" x14ac:dyDescent="0.3">
      <c r="A100" s="14" t="s">
        <v>137</v>
      </c>
      <c r="B100" s="15">
        <v>85.74</v>
      </c>
      <c r="C100" s="15">
        <v>84.27</v>
      </c>
      <c r="D100" s="15">
        <v>83.22</v>
      </c>
      <c r="E100" s="15">
        <v>82.33</v>
      </c>
      <c r="F100" s="15">
        <v>81.42</v>
      </c>
      <c r="G100" s="15">
        <v>80.83</v>
      </c>
      <c r="H100" s="15">
        <v>81.37</v>
      </c>
      <c r="I100" s="15">
        <v>82.05</v>
      </c>
      <c r="J100" s="15">
        <v>83.34</v>
      </c>
      <c r="K100" s="15">
        <v>77.37</v>
      </c>
      <c r="L100" s="15">
        <v>56.34</v>
      </c>
      <c r="M100" s="15">
        <v>56.52</v>
      </c>
      <c r="N100" s="15">
        <v>54.91</v>
      </c>
      <c r="O100" s="15">
        <v>57.22</v>
      </c>
      <c r="P100" s="15">
        <v>56.86</v>
      </c>
    </row>
    <row r="101" spans="1:16" ht="15" customHeight="1" x14ac:dyDescent="0.3">
      <c r="A101" s="18" t="s">
        <v>138</v>
      </c>
      <c r="B101" s="15">
        <v>1.02</v>
      </c>
      <c r="C101" s="23">
        <v>-11.84</v>
      </c>
      <c r="D101" s="15">
        <v>1.71</v>
      </c>
      <c r="E101" s="15">
        <v>0.89</v>
      </c>
      <c r="F101" s="15">
        <v>3.26</v>
      </c>
      <c r="G101" s="23">
        <v>-0.23</v>
      </c>
      <c r="H101" s="15">
        <v>0.24</v>
      </c>
      <c r="I101" s="23">
        <v>-0.16</v>
      </c>
      <c r="J101" s="15">
        <v>0.8</v>
      </c>
      <c r="K101" s="23">
        <v>-1.07</v>
      </c>
      <c r="L101" s="15">
        <v>0.19</v>
      </c>
      <c r="M101" s="23">
        <v>-0.01</v>
      </c>
      <c r="N101" s="15">
        <v>0.73</v>
      </c>
      <c r="O101" s="23">
        <v>-0.27</v>
      </c>
      <c r="P101" s="15">
        <v>2.04</v>
      </c>
    </row>
    <row r="102" spans="1:16" ht="15" customHeight="1" x14ac:dyDescent="0.3">
      <c r="A102" s="18" t="s">
        <v>139</v>
      </c>
      <c r="B102" s="15">
        <v>1.02</v>
      </c>
      <c r="C102" s="23">
        <v>-11.84</v>
      </c>
      <c r="D102" s="15">
        <v>1.71</v>
      </c>
      <c r="E102" s="15">
        <v>0.81</v>
      </c>
      <c r="F102" s="15">
        <v>1.84</v>
      </c>
      <c r="G102" s="23">
        <v>-0.02</v>
      </c>
      <c r="H102" s="15">
        <v>0.85</v>
      </c>
      <c r="I102" s="23">
        <v>-0.18</v>
      </c>
      <c r="J102" s="15">
        <v>0.71</v>
      </c>
      <c r="K102" s="23">
        <v>-0.95</v>
      </c>
      <c r="L102" s="15">
        <v>0.17</v>
      </c>
      <c r="M102" s="23">
        <v>-0.18</v>
      </c>
      <c r="N102" s="15">
        <v>0.73</v>
      </c>
      <c r="O102" s="23">
        <v>-0.27</v>
      </c>
      <c r="P102" s="15">
        <v>0.25</v>
      </c>
    </row>
    <row r="103" spans="1:16" ht="15" customHeight="1" x14ac:dyDescent="0.3">
      <c r="A103" s="18" t="s">
        <v>140</v>
      </c>
      <c r="B103" s="15">
        <v>1.41</v>
      </c>
      <c r="C103" s="23">
        <v>-0.09</v>
      </c>
      <c r="D103" s="15">
        <v>1.62</v>
      </c>
      <c r="E103" s="15">
        <v>0.61</v>
      </c>
      <c r="F103" s="15">
        <v>2.0699999999999998</v>
      </c>
      <c r="G103" s="15">
        <v>0.34</v>
      </c>
      <c r="H103" s="15">
        <v>1.1200000000000001</v>
      </c>
      <c r="I103" s="15">
        <v>0.21</v>
      </c>
      <c r="J103" s="15">
        <v>0.72</v>
      </c>
      <c r="K103" s="23">
        <v>-0.15</v>
      </c>
      <c r="L103" s="15">
        <v>0.34</v>
      </c>
      <c r="M103" s="23">
        <v>-0.18</v>
      </c>
      <c r="N103" s="15">
        <v>1.01</v>
      </c>
      <c r="O103" s="15">
        <v>0.11</v>
      </c>
      <c r="P103" s="15">
        <v>0.48</v>
      </c>
    </row>
    <row r="104" spans="1:16" ht="15" customHeight="1" x14ac:dyDescent="0.3">
      <c r="A104" s="12" t="s">
        <v>141</v>
      </c>
      <c r="B104" s="19"/>
      <c r="C104" s="19"/>
      <c r="D104" s="19"/>
      <c r="E104" s="19"/>
      <c r="F104" s="19"/>
      <c r="G104" s="19"/>
      <c r="H104" s="19"/>
      <c r="I104" s="19"/>
      <c r="J104" s="19"/>
      <c r="K104" s="19"/>
      <c r="L104" s="19"/>
      <c r="M104" s="19"/>
      <c r="N104" s="19"/>
      <c r="O104" s="23">
        <v>-15.54</v>
      </c>
      <c r="P104" s="13">
        <v>115.91</v>
      </c>
    </row>
    <row r="105" spans="1:16" ht="15" customHeight="1" x14ac:dyDescent="0.3">
      <c r="A105" s="12" t="s">
        <v>142</v>
      </c>
      <c r="B105" s="19"/>
      <c r="C105" s="19"/>
      <c r="D105" s="19"/>
      <c r="E105" s="19"/>
      <c r="F105" s="19"/>
      <c r="G105" s="19"/>
      <c r="H105" s="19"/>
      <c r="I105" s="19"/>
      <c r="J105" s="19"/>
      <c r="K105" s="19"/>
      <c r="L105" s="19"/>
      <c r="M105" s="19"/>
      <c r="N105" s="19"/>
      <c r="O105" s="15">
        <v>1</v>
      </c>
      <c r="P105" s="15">
        <v>1</v>
      </c>
    </row>
    <row r="106" spans="1:16" ht="15" customHeight="1" x14ac:dyDescent="0.3">
      <c r="A106" s="14" t="s">
        <v>143</v>
      </c>
      <c r="B106" s="19"/>
      <c r="C106" s="19"/>
      <c r="D106" s="19"/>
      <c r="E106" s="19"/>
      <c r="F106" s="19"/>
      <c r="G106" s="19"/>
      <c r="H106" s="19"/>
      <c r="I106" s="19"/>
      <c r="J106" s="19"/>
      <c r="K106" s="19"/>
      <c r="L106" s="19"/>
      <c r="M106" s="19"/>
      <c r="N106" s="19"/>
      <c r="O106" s="15">
        <v>57.22</v>
      </c>
      <c r="P106" s="15">
        <v>56.86</v>
      </c>
    </row>
    <row r="107" spans="1:16" ht="15" customHeight="1" x14ac:dyDescent="0.3">
      <c r="A107" s="18" t="s">
        <v>144</v>
      </c>
      <c r="B107" s="15">
        <v>1.02</v>
      </c>
      <c r="C107" s="23">
        <v>-11.84</v>
      </c>
      <c r="D107" s="15">
        <v>1.71</v>
      </c>
      <c r="E107" s="15">
        <v>0.89</v>
      </c>
      <c r="F107" s="15">
        <v>3.26</v>
      </c>
      <c r="G107" s="23">
        <v>-0.23</v>
      </c>
      <c r="H107" s="15">
        <v>0.24</v>
      </c>
      <c r="I107" s="23">
        <v>-0.16</v>
      </c>
      <c r="J107" s="15">
        <v>0.8</v>
      </c>
      <c r="K107" s="23">
        <v>-1.07</v>
      </c>
      <c r="L107" s="15">
        <v>0.19</v>
      </c>
      <c r="M107" s="23">
        <v>-0.01</v>
      </c>
      <c r="N107" s="15">
        <v>0.73</v>
      </c>
      <c r="O107" s="23">
        <v>-0.27</v>
      </c>
      <c r="P107" s="15">
        <v>2.04</v>
      </c>
    </row>
    <row r="108" spans="1:16" ht="15" customHeight="1" x14ac:dyDescent="0.3">
      <c r="A108" s="18" t="s">
        <v>145</v>
      </c>
      <c r="B108" s="15">
        <v>1.02</v>
      </c>
      <c r="C108" s="23">
        <v>-11.84</v>
      </c>
      <c r="D108" s="15">
        <v>1.71</v>
      </c>
      <c r="E108" s="15">
        <v>0.81</v>
      </c>
      <c r="F108" s="15">
        <v>1.84</v>
      </c>
      <c r="G108" s="23">
        <v>-0.02</v>
      </c>
      <c r="H108" s="15">
        <v>0.85</v>
      </c>
      <c r="I108" s="23">
        <v>-0.18</v>
      </c>
      <c r="J108" s="15">
        <v>0.71</v>
      </c>
      <c r="K108" s="23">
        <v>-0.95</v>
      </c>
      <c r="L108" s="15">
        <v>0.17</v>
      </c>
      <c r="M108" s="23">
        <v>-0.18</v>
      </c>
      <c r="N108" s="15">
        <v>0.73</v>
      </c>
      <c r="O108" s="23">
        <v>-0.27</v>
      </c>
      <c r="P108" s="15">
        <v>0.25</v>
      </c>
    </row>
    <row r="109" spans="1:16" ht="15" customHeight="1" x14ac:dyDescent="0.3">
      <c r="A109" s="18" t="s">
        <v>146</v>
      </c>
      <c r="B109" s="15">
        <v>1.41</v>
      </c>
      <c r="C109" s="23">
        <v>-0.09</v>
      </c>
      <c r="D109" s="15">
        <v>1.62</v>
      </c>
      <c r="E109" s="15">
        <v>0.61</v>
      </c>
      <c r="F109" s="15">
        <v>2.0699999999999998</v>
      </c>
      <c r="G109" s="15">
        <v>0.34</v>
      </c>
      <c r="H109" s="15">
        <v>1.1200000000000001</v>
      </c>
      <c r="I109" s="15">
        <v>0.21</v>
      </c>
      <c r="J109" s="15">
        <v>0.72</v>
      </c>
      <c r="K109" s="23">
        <v>-0.15</v>
      </c>
      <c r="L109" s="15">
        <v>0.34</v>
      </c>
      <c r="M109" s="23">
        <v>-0.18</v>
      </c>
      <c r="N109" s="15">
        <v>1.01</v>
      </c>
      <c r="O109" s="15">
        <v>0.11</v>
      </c>
      <c r="P109" s="15">
        <v>0.48</v>
      </c>
    </row>
    <row r="110" spans="1:16" ht="15" customHeight="1" x14ac:dyDescent="0.3">
      <c r="A110" s="12" t="s">
        <v>147</v>
      </c>
      <c r="B110" s="19"/>
      <c r="C110" s="19"/>
      <c r="D110" s="19"/>
      <c r="E110" s="15">
        <v>0.08</v>
      </c>
      <c r="F110" s="15">
        <v>1.42</v>
      </c>
      <c r="G110" s="23">
        <v>-0.2</v>
      </c>
      <c r="H110" s="23">
        <v>-0.62</v>
      </c>
      <c r="I110" s="15">
        <v>0.02</v>
      </c>
      <c r="J110" s="15">
        <v>0.09</v>
      </c>
      <c r="K110" s="23">
        <v>-0.11</v>
      </c>
      <c r="L110" s="15">
        <v>0.02</v>
      </c>
      <c r="M110" s="15">
        <v>0.17</v>
      </c>
      <c r="N110" s="19"/>
      <c r="O110" s="19"/>
      <c r="P110" s="15">
        <v>1.79</v>
      </c>
    </row>
    <row r="111" spans="1:16" ht="15" customHeight="1" x14ac:dyDescent="0.3">
      <c r="A111" s="12" t="s">
        <v>148</v>
      </c>
      <c r="B111" s="19"/>
      <c r="C111" s="19"/>
      <c r="D111" s="19"/>
      <c r="E111" s="19"/>
      <c r="F111" s="19"/>
      <c r="G111" s="19"/>
      <c r="H111" s="19"/>
      <c r="I111" s="19"/>
      <c r="J111" s="19"/>
      <c r="K111" s="19"/>
      <c r="L111" s="19"/>
      <c r="M111" s="19"/>
      <c r="N111" s="19"/>
      <c r="O111" s="23">
        <v>-0.55000000000000004</v>
      </c>
      <c r="P111" s="15">
        <v>2.48</v>
      </c>
    </row>
    <row r="112" spans="1:16" ht="15" customHeight="1" x14ac:dyDescent="0.3">
      <c r="A112" s="10" t="s">
        <v>149</v>
      </c>
      <c r="B112" s="11"/>
      <c r="C112" s="11"/>
      <c r="D112" s="11"/>
      <c r="E112" s="11"/>
      <c r="F112" s="11"/>
      <c r="G112" s="11"/>
      <c r="H112" s="11"/>
      <c r="I112" s="11"/>
      <c r="J112" s="11"/>
      <c r="K112" s="11"/>
      <c r="L112" s="11"/>
      <c r="M112" s="11"/>
      <c r="N112" s="11"/>
      <c r="O112" s="11"/>
      <c r="P112" s="11"/>
    </row>
    <row r="113" spans="1:16" ht="15" customHeight="1" x14ac:dyDescent="0.3">
      <c r="A113" s="12" t="s">
        <v>150</v>
      </c>
      <c r="B113" s="19"/>
      <c r="C113" s="19"/>
      <c r="D113" s="19"/>
      <c r="E113" s="19"/>
      <c r="F113" s="19"/>
      <c r="G113" s="19"/>
      <c r="H113" s="19"/>
      <c r="I113" s="19"/>
      <c r="J113" s="19"/>
      <c r="K113" s="19"/>
      <c r="L113" s="23">
        <v>-0.23</v>
      </c>
      <c r="M113" s="19"/>
      <c r="N113" s="19"/>
      <c r="O113" s="19"/>
      <c r="P113" s="19"/>
    </row>
    <row r="114" spans="1:16" ht="15" customHeight="1" x14ac:dyDescent="0.3">
      <c r="A114" s="12" t="s">
        <v>151</v>
      </c>
      <c r="B114" s="15">
        <v>87.6</v>
      </c>
      <c r="C114" s="22">
        <v>-998.09</v>
      </c>
      <c r="D114" s="13">
        <v>141.94</v>
      </c>
      <c r="E114" s="15">
        <v>73.34</v>
      </c>
      <c r="F114" s="13">
        <v>265.62</v>
      </c>
      <c r="G114" s="23">
        <v>-18.38</v>
      </c>
      <c r="H114" s="15">
        <v>19.25</v>
      </c>
      <c r="I114" s="23">
        <v>-13.11</v>
      </c>
      <c r="J114" s="15">
        <v>66.42</v>
      </c>
      <c r="K114" s="23">
        <v>-82.48</v>
      </c>
      <c r="L114" s="15">
        <v>10.3</v>
      </c>
      <c r="M114" s="23">
        <v>-0.47</v>
      </c>
      <c r="N114" s="15">
        <v>40.19</v>
      </c>
      <c r="O114" s="23">
        <v>-15.54</v>
      </c>
      <c r="P114" s="13">
        <v>115.91</v>
      </c>
    </row>
    <row r="115" spans="1:16" ht="15" customHeight="1" x14ac:dyDescent="0.3">
      <c r="A115" s="14" t="s">
        <v>152</v>
      </c>
      <c r="B115" s="15">
        <v>87.6</v>
      </c>
      <c r="C115" s="22">
        <v>-998.09</v>
      </c>
      <c r="D115" s="13">
        <v>141.94</v>
      </c>
      <c r="E115" s="15">
        <v>66.53</v>
      </c>
      <c r="F115" s="13">
        <v>149.85</v>
      </c>
      <c r="G115" s="23">
        <v>-1.91</v>
      </c>
      <c r="H115" s="15">
        <v>69.39</v>
      </c>
      <c r="I115" s="23">
        <v>-14.71</v>
      </c>
      <c r="J115" s="15">
        <v>59.11</v>
      </c>
      <c r="K115" s="23">
        <v>-73.87</v>
      </c>
      <c r="L115" s="15">
        <v>9.23</v>
      </c>
      <c r="M115" s="23">
        <v>-10.09</v>
      </c>
      <c r="N115" s="15">
        <v>40.19</v>
      </c>
      <c r="O115" s="23">
        <v>-15.54</v>
      </c>
      <c r="P115" s="15">
        <v>14.37</v>
      </c>
    </row>
    <row r="116" spans="1:16" ht="15" customHeight="1" x14ac:dyDescent="0.3">
      <c r="A116" s="14" t="s">
        <v>153</v>
      </c>
      <c r="B116" s="15">
        <v>86.07</v>
      </c>
      <c r="C116" s="15">
        <v>84.27</v>
      </c>
      <c r="D116" s="15">
        <v>87.35</v>
      </c>
      <c r="E116" s="15">
        <v>87.98</v>
      </c>
      <c r="F116" s="15">
        <v>81.83</v>
      </c>
      <c r="G116" s="15">
        <v>80.83</v>
      </c>
      <c r="H116" s="15">
        <v>81.93</v>
      </c>
      <c r="I116" s="15">
        <v>82.05</v>
      </c>
      <c r="J116" s="15">
        <v>83.64</v>
      </c>
      <c r="K116" s="15">
        <v>77.37</v>
      </c>
      <c r="L116" s="15">
        <v>57.24</v>
      </c>
      <c r="M116" s="15">
        <v>56.52</v>
      </c>
      <c r="N116" s="15">
        <v>55.38</v>
      </c>
      <c r="O116" s="15">
        <v>57.22</v>
      </c>
      <c r="P116" s="15">
        <v>57</v>
      </c>
    </row>
    <row r="117" spans="1:16" ht="15" customHeight="1" x14ac:dyDescent="0.3">
      <c r="A117" s="18" t="s">
        <v>154</v>
      </c>
      <c r="B117" s="15">
        <v>1.02</v>
      </c>
      <c r="C117" s="23">
        <v>-11.84</v>
      </c>
      <c r="D117" s="15">
        <v>1.62</v>
      </c>
      <c r="E117" s="15">
        <v>0.83</v>
      </c>
      <c r="F117" s="15">
        <v>3.25</v>
      </c>
      <c r="G117" s="23">
        <v>-0.23</v>
      </c>
      <c r="H117" s="15">
        <v>0.23</v>
      </c>
      <c r="I117" s="23">
        <v>-0.16</v>
      </c>
      <c r="J117" s="15">
        <v>0.79</v>
      </c>
      <c r="K117" s="23">
        <v>-1.07</v>
      </c>
      <c r="L117" s="15">
        <v>0.18</v>
      </c>
      <c r="M117" s="23">
        <v>-0.01</v>
      </c>
      <c r="N117" s="15">
        <v>0.73</v>
      </c>
      <c r="O117" s="23">
        <v>-0.27</v>
      </c>
      <c r="P117" s="15">
        <v>2.0299999999999998</v>
      </c>
    </row>
    <row r="118" spans="1:16" ht="15" customHeight="1" x14ac:dyDescent="0.3">
      <c r="A118" s="18" t="s">
        <v>155</v>
      </c>
      <c r="B118" s="15">
        <v>1.02</v>
      </c>
      <c r="C118" s="23">
        <v>-11.84</v>
      </c>
      <c r="D118" s="15">
        <v>1.62</v>
      </c>
      <c r="E118" s="15">
        <v>1.39</v>
      </c>
      <c r="F118" s="15">
        <v>1.83</v>
      </c>
      <c r="G118" s="23">
        <v>-0.02</v>
      </c>
      <c r="H118" s="15">
        <v>0.85</v>
      </c>
      <c r="I118" s="23">
        <v>-0.18</v>
      </c>
      <c r="J118" s="15">
        <v>0.71</v>
      </c>
      <c r="K118" s="23">
        <v>-0.95</v>
      </c>
      <c r="L118" s="15">
        <v>0.17</v>
      </c>
      <c r="M118" s="23">
        <v>-0.18</v>
      </c>
      <c r="N118" s="15">
        <v>0.73</v>
      </c>
      <c r="O118" s="23">
        <v>-0.27</v>
      </c>
      <c r="P118" s="15">
        <v>0.25</v>
      </c>
    </row>
    <row r="119" spans="1:16" ht="15" customHeight="1" x14ac:dyDescent="0.3">
      <c r="A119" s="18" t="s">
        <v>156</v>
      </c>
      <c r="B119" s="15">
        <v>1.41</v>
      </c>
      <c r="C119" s="23">
        <v>-0.09</v>
      </c>
      <c r="D119" s="15">
        <v>1.55</v>
      </c>
      <c r="E119" s="15">
        <v>0.56999999999999995</v>
      </c>
      <c r="F119" s="15">
        <v>2.06</v>
      </c>
      <c r="G119" s="15">
        <v>0.34</v>
      </c>
      <c r="H119" s="15">
        <v>1.1100000000000001</v>
      </c>
      <c r="I119" s="15">
        <v>0.21</v>
      </c>
      <c r="J119" s="15">
        <v>0.71</v>
      </c>
      <c r="K119" s="23">
        <v>-0.15</v>
      </c>
      <c r="L119" s="15">
        <v>0.33</v>
      </c>
      <c r="M119" s="23">
        <v>-0.18</v>
      </c>
      <c r="N119" s="15">
        <v>1</v>
      </c>
      <c r="O119" s="15">
        <v>0.11</v>
      </c>
      <c r="P119" s="15">
        <v>0.47</v>
      </c>
    </row>
    <row r="120" spans="1:16" ht="15" customHeight="1" x14ac:dyDescent="0.3">
      <c r="A120" s="12" t="s">
        <v>157</v>
      </c>
      <c r="B120" s="19"/>
      <c r="C120" s="19"/>
      <c r="D120" s="19"/>
      <c r="E120" s="19"/>
      <c r="F120" s="19"/>
      <c r="G120" s="19"/>
      <c r="H120" s="19"/>
      <c r="I120" s="19"/>
      <c r="J120" s="19"/>
      <c r="K120" s="19"/>
      <c r="L120" s="19"/>
      <c r="M120" s="19"/>
      <c r="N120" s="19"/>
      <c r="O120" s="23">
        <v>-15.54</v>
      </c>
      <c r="P120" s="13">
        <v>115.91</v>
      </c>
    </row>
    <row r="121" spans="1:16" ht="15" customHeight="1" x14ac:dyDescent="0.3">
      <c r="A121" s="12" t="s">
        <v>158</v>
      </c>
      <c r="B121" s="19"/>
      <c r="C121" s="19"/>
      <c r="D121" s="19"/>
      <c r="E121" s="19"/>
      <c r="F121" s="19"/>
      <c r="G121" s="19"/>
      <c r="H121" s="19"/>
      <c r="I121" s="19"/>
      <c r="J121" s="19"/>
      <c r="K121" s="19"/>
      <c r="L121" s="19"/>
      <c r="M121" s="19"/>
      <c r="N121" s="19"/>
      <c r="O121" s="15">
        <v>1</v>
      </c>
      <c r="P121" s="15">
        <v>1</v>
      </c>
    </row>
    <row r="122" spans="1:16" ht="15" customHeight="1" x14ac:dyDescent="0.3">
      <c r="A122" s="14" t="s">
        <v>159</v>
      </c>
      <c r="B122" s="19"/>
      <c r="C122" s="19"/>
      <c r="D122" s="19"/>
      <c r="E122" s="19"/>
      <c r="F122" s="19"/>
      <c r="G122" s="19"/>
      <c r="H122" s="19"/>
      <c r="I122" s="19"/>
      <c r="J122" s="19"/>
      <c r="K122" s="19"/>
      <c r="L122" s="19"/>
      <c r="M122" s="19"/>
      <c r="N122" s="19"/>
      <c r="O122" s="15">
        <v>57.22</v>
      </c>
      <c r="P122" s="15">
        <v>57</v>
      </c>
    </row>
    <row r="123" spans="1:16" ht="15" customHeight="1" x14ac:dyDescent="0.3">
      <c r="A123" s="18" t="s">
        <v>160</v>
      </c>
      <c r="B123" s="15">
        <v>1.02</v>
      </c>
      <c r="C123" s="23">
        <v>-11.84</v>
      </c>
      <c r="D123" s="15">
        <v>1.62</v>
      </c>
      <c r="E123" s="15">
        <v>0.83</v>
      </c>
      <c r="F123" s="15">
        <v>3.25</v>
      </c>
      <c r="G123" s="23">
        <v>-0.23</v>
      </c>
      <c r="H123" s="15">
        <v>0.23</v>
      </c>
      <c r="I123" s="23">
        <v>-0.16</v>
      </c>
      <c r="J123" s="15">
        <v>0.79</v>
      </c>
      <c r="K123" s="23">
        <v>-1.07</v>
      </c>
      <c r="L123" s="15">
        <v>0.18</v>
      </c>
      <c r="M123" s="23">
        <v>-0.01</v>
      </c>
      <c r="N123" s="15">
        <v>0.73</v>
      </c>
      <c r="O123" s="23">
        <v>-0.27</v>
      </c>
      <c r="P123" s="15">
        <v>2.0299999999999998</v>
      </c>
    </row>
    <row r="124" spans="1:16" ht="15" customHeight="1" x14ac:dyDescent="0.3">
      <c r="A124" s="18" t="s">
        <v>161</v>
      </c>
      <c r="B124" s="15">
        <v>1.02</v>
      </c>
      <c r="C124" s="23">
        <v>-11.84</v>
      </c>
      <c r="D124" s="15">
        <v>1.62</v>
      </c>
      <c r="E124" s="15">
        <v>0.76</v>
      </c>
      <c r="F124" s="15">
        <v>1.83</v>
      </c>
      <c r="G124" s="23">
        <v>-0.02</v>
      </c>
      <c r="H124" s="15">
        <v>0.85</v>
      </c>
      <c r="I124" s="23">
        <v>-0.18</v>
      </c>
      <c r="J124" s="15">
        <v>0.71</v>
      </c>
      <c r="K124" s="23">
        <v>-0.95</v>
      </c>
      <c r="L124" s="15">
        <v>0.16</v>
      </c>
      <c r="M124" s="23">
        <v>-0.18</v>
      </c>
      <c r="N124" s="15">
        <v>0.73</v>
      </c>
      <c r="O124" s="23">
        <v>-0.27</v>
      </c>
      <c r="P124" s="15">
        <v>0.25</v>
      </c>
    </row>
    <row r="125" spans="1:16" ht="15" customHeight="1" x14ac:dyDescent="0.3">
      <c r="A125" s="18" t="s">
        <v>162</v>
      </c>
      <c r="B125" s="15">
        <v>1.41</v>
      </c>
      <c r="C125" s="23">
        <v>-0.09</v>
      </c>
      <c r="D125" s="15">
        <v>1.55</v>
      </c>
      <c r="E125" s="15">
        <v>0.56999999999999995</v>
      </c>
      <c r="F125" s="15">
        <v>2.06</v>
      </c>
      <c r="G125" s="15">
        <v>0.34</v>
      </c>
      <c r="H125" s="15">
        <v>1.1100000000000001</v>
      </c>
      <c r="I125" s="15">
        <v>0.21</v>
      </c>
      <c r="J125" s="15">
        <v>0.71</v>
      </c>
      <c r="K125" s="23">
        <v>-0.15</v>
      </c>
      <c r="L125" s="15">
        <v>0.33</v>
      </c>
      <c r="M125" s="23">
        <v>-0.18</v>
      </c>
      <c r="N125" s="15">
        <v>1</v>
      </c>
      <c r="O125" s="15">
        <v>0.11</v>
      </c>
      <c r="P125" s="15">
        <v>0.47</v>
      </c>
    </row>
    <row r="126" spans="1:16" ht="15" customHeight="1" x14ac:dyDescent="0.3">
      <c r="A126" s="12" t="s">
        <v>163</v>
      </c>
      <c r="B126" s="19"/>
      <c r="C126" s="19"/>
      <c r="D126" s="19"/>
      <c r="E126" s="23">
        <v>-0.56000000000000005</v>
      </c>
      <c r="F126" s="15">
        <v>1.41</v>
      </c>
      <c r="G126" s="23">
        <v>-0.2</v>
      </c>
      <c r="H126" s="23">
        <v>-0.61</v>
      </c>
      <c r="I126" s="15">
        <v>0.02</v>
      </c>
      <c r="J126" s="15">
        <v>0.09</v>
      </c>
      <c r="K126" s="23">
        <v>-0.11</v>
      </c>
      <c r="L126" s="15">
        <v>0.01</v>
      </c>
      <c r="M126" s="15">
        <v>0.17</v>
      </c>
      <c r="N126" s="19"/>
      <c r="O126" s="19"/>
      <c r="P126" s="15">
        <v>1.78</v>
      </c>
    </row>
    <row r="127" spans="1:16" ht="15" customHeight="1" x14ac:dyDescent="0.3">
      <c r="A127" s="12" t="s">
        <v>164</v>
      </c>
      <c r="B127" s="19"/>
      <c r="C127" s="19"/>
      <c r="D127" s="19"/>
      <c r="E127" s="19"/>
      <c r="F127" s="19"/>
      <c r="G127" s="19"/>
      <c r="H127" s="19"/>
      <c r="I127" s="19"/>
      <c r="J127" s="19"/>
      <c r="K127" s="19"/>
      <c r="L127" s="19"/>
      <c r="M127" s="19"/>
      <c r="N127" s="19"/>
      <c r="O127" s="23">
        <v>-0.55000000000000004</v>
      </c>
      <c r="P127" s="15">
        <v>2.4700000000000002</v>
      </c>
    </row>
    <row r="128" spans="1:16" ht="15" customHeight="1" x14ac:dyDescent="0.3">
      <c r="A128" s="10" t="s">
        <v>165</v>
      </c>
      <c r="B128" s="11"/>
      <c r="C128" s="11"/>
      <c r="D128" s="11"/>
      <c r="E128" s="11"/>
      <c r="F128" s="11"/>
      <c r="G128" s="11"/>
      <c r="H128" s="11"/>
      <c r="I128" s="11"/>
      <c r="J128" s="11"/>
      <c r="K128" s="11"/>
      <c r="L128" s="11"/>
      <c r="M128" s="11"/>
      <c r="N128" s="11"/>
      <c r="O128" s="11"/>
      <c r="P128" s="11"/>
    </row>
    <row r="129" spans="1:16" ht="15" customHeight="1" x14ac:dyDescent="0.3">
      <c r="A129" s="12" t="s">
        <v>166</v>
      </c>
      <c r="B129" s="19"/>
      <c r="C129" s="19"/>
      <c r="D129" s="19"/>
      <c r="E129" s="19"/>
      <c r="F129" s="15">
        <v>0.2</v>
      </c>
      <c r="G129" s="15">
        <v>0.2</v>
      </c>
      <c r="H129" s="15">
        <v>0.2</v>
      </c>
      <c r="I129" s="19"/>
      <c r="J129" s="19"/>
      <c r="K129" s="19"/>
      <c r="L129" s="19"/>
      <c r="M129" s="19"/>
      <c r="N129" s="19"/>
      <c r="O129" s="19"/>
      <c r="P129" s="19"/>
    </row>
    <row r="130" spans="1:16" ht="15" customHeight="1" x14ac:dyDescent="0.3">
      <c r="A130" s="12" t="s">
        <v>166</v>
      </c>
      <c r="B130" s="19"/>
      <c r="C130" s="19"/>
      <c r="D130" s="19"/>
      <c r="E130" s="19"/>
      <c r="F130" s="19"/>
      <c r="G130" s="19"/>
      <c r="H130" s="19"/>
      <c r="I130" s="19"/>
      <c r="J130" s="19"/>
      <c r="K130" s="19"/>
      <c r="L130" s="19"/>
      <c r="M130" s="19"/>
      <c r="N130" s="19"/>
      <c r="O130" s="19"/>
      <c r="P130" s="19"/>
    </row>
    <row r="131" spans="1:16" ht="15" customHeight="1" x14ac:dyDescent="0.3">
      <c r="A131" s="12" t="s">
        <v>167</v>
      </c>
      <c r="B131" s="19"/>
      <c r="C131" s="19"/>
      <c r="D131" s="19"/>
      <c r="E131" s="19"/>
      <c r="F131" s="15">
        <v>0.2</v>
      </c>
      <c r="G131" s="15">
        <v>0.2</v>
      </c>
      <c r="H131" s="15">
        <v>0.2</v>
      </c>
      <c r="I131" s="19"/>
      <c r="J131" s="19"/>
      <c r="K131" s="19"/>
      <c r="L131" s="19"/>
      <c r="M131" s="19"/>
      <c r="N131" s="19"/>
      <c r="O131" s="19"/>
      <c r="P131" s="19"/>
    </row>
    <row r="132" spans="1:16" ht="15" customHeight="1" x14ac:dyDescent="0.3">
      <c r="A132" s="12" t="s">
        <v>167</v>
      </c>
      <c r="B132" s="19"/>
      <c r="C132" s="19"/>
      <c r="D132" s="19"/>
      <c r="E132" s="19"/>
      <c r="F132" s="19"/>
      <c r="G132" s="19"/>
      <c r="H132" s="19"/>
      <c r="I132" s="19"/>
      <c r="J132" s="19"/>
      <c r="K132" s="19"/>
      <c r="L132" s="19"/>
      <c r="M132" s="19"/>
      <c r="N132" s="19"/>
      <c r="O132" s="19"/>
      <c r="P132" s="19"/>
    </row>
    <row r="133" spans="1:16" ht="15" customHeight="1" x14ac:dyDescent="0.3">
      <c r="A133" s="12" t="s">
        <v>168</v>
      </c>
      <c r="B133" s="19"/>
      <c r="C133" s="19"/>
      <c r="D133" s="19"/>
      <c r="E133" s="19"/>
      <c r="F133" s="19"/>
      <c r="G133" s="19"/>
      <c r="H133" s="19"/>
      <c r="I133" s="19"/>
      <c r="J133" s="19"/>
      <c r="K133" s="15">
        <v>1.03</v>
      </c>
      <c r="L133" s="19"/>
      <c r="M133" s="19"/>
      <c r="N133" s="19"/>
      <c r="O133" s="19"/>
      <c r="P133" s="19"/>
    </row>
    <row r="134" spans="1:16" ht="15" customHeight="1" x14ac:dyDescent="0.3">
      <c r="A134" s="12" t="s">
        <v>169</v>
      </c>
      <c r="B134" s="19"/>
      <c r="C134" s="19"/>
      <c r="D134" s="19"/>
      <c r="E134" s="19"/>
      <c r="F134" s="19"/>
      <c r="G134" s="19"/>
      <c r="H134" s="19"/>
      <c r="I134" s="19"/>
      <c r="J134" s="19"/>
      <c r="K134" s="15">
        <v>1.03</v>
      </c>
      <c r="L134" s="19"/>
      <c r="M134" s="19"/>
      <c r="N134" s="19"/>
      <c r="O134" s="19"/>
      <c r="P134" s="19"/>
    </row>
    <row r="135" spans="1:16" ht="15" customHeight="1" x14ac:dyDescent="0.3">
      <c r="A135" s="10" t="s">
        <v>170</v>
      </c>
      <c r="B135" s="11"/>
      <c r="C135" s="11"/>
      <c r="D135" s="11"/>
      <c r="E135" s="11"/>
      <c r="F135" s="11"/>
      <c r="G135" s="11"/>
      <c r="H135" s="11"/>
      <c r="I135" s="11"/>
      <c r="J135" s="11"/>
      <c r="K135" s="11"/>
      <c r="L135" s="11"/>
      <c r="M135" s="11"/>
      <c r="N135" s="11"/>
      <c r="O135" s="11"/>
      <c r="P135" s="11"/>
    </row>
    <row r="136" spans="1:16" ht="15" customHeight="1" x14ac:dyDescent="0.3">
      <c r="A136" s="12" t="s">
        <v>171</v>
      </c>
      <c r="B136" s="13">
        <v>427.59</v>
      </c>
      <c r="C136" s="13">
        <v>239.71</v>
      </c>
      <c r="D136" s="13">
        <v>435.85</v>
      </c>
      <c r="E136" s="13">
        <v>420.28</v>
      </c>
      <c r="F136" s="13">
        <v>322.83</v>
      </c>
      <c r="G136" s="13">
        <v>115.34</v>
      </c>
      <c r="H136" s="13">
        <v>171.69</v>
      </c>
      <c r="I136" s="15">
        <v>38.42</v>
      </c>
      <c r="J136" s="13">
        <v>129.26</v>
      </c>
      <c r="K136" s="15">
        <v>26.34</v>
      </c>
      <c r="L136" s="15">
        <v>32.369999999999997</v>
      </c>
      <c r="M136" s="15">
        <v>0.09</v>
      </c>
      <c r="N136" s="15">
        <v>89.54</v>
      </c>
      <c r="O136" s="23">
        <v>-1.77</v>
      </c>
      <c r="P136" s="15">
        <v>45.47</v>
      </c>
    </row>
    <row r="137" spans="1:16" ht="15" customHeight="1" x14ac:dyDescent="0.3">
      <c r="A137" s="12" t="s">
        <v>172</v>
      </c>
      <c r="B137" s="13">
        <v>582.82000000000005</v>
      </c>
      <c r="C137" s="13">
        <v>394.82</v>
      </c>
      <c r="D137" s="13">
        <v>596.29</v>
      </c>
      <c r="E137" s="13">
        <v>582.20000000000005</v>
      </c>
      <c r="F137" s="13">
        <v>429.98</v>
      </c>
      <c r="G137" s="13">
        <v>202.33</v>
      </c>
      <c r="H137" s="13">
        <v>235.68</v>
      </c>
      <c r="I137" s="15">
        <v>94.76</v>
      </c>
      <c r="J137" s="13">
        <v>187.84</v>
      </c>
      <c r="K137" s="15">
        <v>78.3</v>
      </c>
      <c r="L137" s="15">
        <v>64.55</v>
      </c>
      <c r="M137" s="15">
        <v>30.61</v>
      </c>
      <c r="N137" s="13">
        <v>138.87</v>
      </c>
      <c r="O137" s="15">
        <v>38.29</v>
      </c>
      <c r="P137" s="15">
        <v>90.37</v>
      </c>
    </row>
    <row r="138" spans="1:16" ht="15" customHeight="1" x14ac:dyDescent="0.3">
      <c r="A138" s="12" t="s">
        <v>173</v>
      </c>
      <c r="B138" s="13">
        <v>605.62</v>
      </c>
      <c r="C138" s="13">
        <v>415.82</v>
      </c>
      <c r="D138" s="13">
        <v>620.49</v>
      </c>
      <c r="E138" s="13">
        <v>606.5</v>
      </c>
      <c r="F138" s="13">
        <v>450.98</v>
      </c>
      <c r="G138" s="13">
        <v>217.03</v>
      </c>
      <c r="H138" s="19"/>
      <c r="I138" s="13">
        <v>107.86</v>
      </c>
      <c r="J138" s="13">
        <v>198.94</v>
      </c>
      <c r="K138" s="15">
        <v>87.1</v>
      </c>
      <c r="L138" s="15">
        <v>72.75</v>
      </c>
      <c r="M138" s="15">
        <v>37.409999999999997</v>
      </c>
      <c r="N138" s="13">
        <v>149.16999999999999</v>
      </c>
      <c r="O138" s="15">
        <v>46.09</v>
      </c>
      <c r="P138" s="15">
        <v>98.87</v>
      </c>
    </row>
    <row r="139" spans="1:16" ht="15" customHeight="1" x14ac:dyDescent="0.3">
      <c r="A139" s="10" t="s">
        <v>174</v>
      </c>
      <c r="B139" s="11"/>
      <c r="C139" s="11"/>
      <c r="D139" s="11"/>
      <c r="E139" s="11"/>
      <c r="F139" s="11"/>
      <c r="G139" s="11"/>
      <c r="H139" s="11"/>
      <c r="I139" s="11"/>
      <c r="J139" s="11"/>
      <c r="K139" s="11"/>
      <c r="L139" s="11"/>
      <c r="M139" s="11"/>
      <c r="N139" s="11"/>
      <c r="O139" s="11"/>
      <c r="P139" s="11"/>
    </row>
    <row r="140" spans="1:16" ht="15" customHeight="1" x14ac:dyDescent="0.3">
      <c r="A140" s="12" t="s">
        <v>175</v>
      </c>
      <c r="B140" s="15">
        <v>94.04</v>
      </c>
      <c r="C140" s="15">
        <v>95.18</v>
      </c>
      <c r="D140" s="15">
        <v>98.59</v>
      </c>
      <c r="E140" s="13">
        <v>161.91999999999999</v>
      </c>
      <c r="F140" s="13">
        <v>107.16</v>
      </c>
      <c r="G140" s="15">
        <v>84.34</v>
      </c>
      <c r="H140" s="15">
        <v>60.71</v>
      </c>
      <c r="I140" s="15">
        <v>56.34</v>
      </c>
      <c r="J140" s="15">
        <v>55.2</v>
      </c>
      <c r="K140" s="15">
        <v>49.79</v>
      </c>
      <c r="L140" s="15">
        <v>32.18</v>
      </c>
      <c r="M140" s="15">
        <v>30.52</v>
      </c>
      <c r="N140" s="15">
        <v>49.33</v>
      </c>
      <c r="O140" s="15">
        <v>40.07</v>
      </c>
      <c r="P140" s="15">
        <v>44.89</v>
      </c>
    </row>
    <row r="141" spans="1:16" ht="15" customHeight="1" x14ac:dyDescent="0.3">
      <c r="A141" s="14" t="s">
        <v>176</v>
      </c>
      <c r="B141" s="15">
        <v>0.8</v>
      </c>
      <c r="C141" s="15">
        <v>0.8</v>
      </c>
      <c r="D141" s="15">
        <v>0.1</v>
      </c>
      <c r="E141" s="15">
        <v>58.36</v>
      </c>
      <c r="F141" s="15">
        <v>50.42</v>
      </c>
      <c r="G141" s="15">
        <v>40</v>
      </c>
      <c r="H141" s="15">
        <v>34.39</v>
      </c>
      <c r="I141" s="15">
        <v>34.049999999999997</v>
      </c>
      <c r="J141" s="15">
        <v>32.47</v>
      </c>
      <c r="K141" s="15">
        <v>32.81</v>
      </c>
      <c r="L141" s="15">
        <v>24.17</v>
      </c>
      <c r="M141" s="15">
        <v>24.14</v>
      </c>
      <c r="N141" s="15">
        <v>42.26</v>
      </c>
      <c r="O141" s="15">
        <v>38.82</v>
      </c>
      <c r="P141" s="15">
        <v>43.52</v>
      </c>
    </row>
    <row r="142" spans="1:16" ht="15" customHeight="1" x14ac:dyDescent="0.3">
      <c r="A142" s="18" t="s">
        <v>177</v>
      </c>
      <c r="B142" s="15">
        <v>0.8</v>
      </c>
      <c r="C142" s="15">
        <v>0.8</v>
      </c>
      <c r="D142" s="15">
        <v>0.1</v>
      </c>
      <c r="E142" s="19"/>
      <c r="F142" s="19"/>
      <c r="G142" s="19"/>
      <c r="H142" s="19"/>
      <c r="I142" s="19"/>
      <c r="J142" s="19"/>
      <c r="K142" s="19"/>
      <c r="L142" s="19"/>
      <c r="M142" s="19"/>
      <c r="N142" s="19"/>
      <c r="O142" s="19"/>
      <c r="P142" s="19"/>
    </row>
    <row r="143" spans="1:16" ht="15" customHeight="1" x14ac:dyDescent="0.3">
      <c r="A143" s="14" t="s">
        <v>178</v>
      </c>
      <c r="B143" s="15">
        <v>93.24</v>
      </c>
      <c r="C143" s="15">
        <v>94.38</v>
      </c>
      <c r="D143" s="15">
        <v>98.49</v>
      </c>
      <c r="E143" s="13">
        <v>103.57</v>
      </c>
      <c r="F143" s="15">
        <v>56.74</v>
      </c>
      <c r="G143" s="15">
        <v>44.35</v>
      </c>
      <c r="H143" s="15">
        <v>26.33</v>
      </c>
      <c r="I143" s="15">
        <v>22.29</v>
      </c>
      <c r="J143" s="15">
        <v>22.73</v>
      </c>
      <c r="K143" s="15">
        <v>16.98</v>
      </c>
      <c r="L143" s="15">
        <v>8.01</v>
      </c>
      <c r="M143" s="15">
        <v>6.38</v>
      </c>
      <c r="N143" s="15">
        <v>7.07</v>
      </c>
      <c r="O143" s="15">
        <v>1.25</v>
      </c>
      <c r="P143" s="15">
        <v>1.38</v>
      </c>
    </row>
    <row r="144" spans="1:16" ht="15" customHeight="1" x14ac:dyDescent="0.3">
      <c r="A144" s="18" t="s">
        <v>179</v>
      </c>
      <c r="B144" s="15">
        <v>93.24</v>
      </c>
      <c r="C144" s="15">
        <v>94.38</v>
      </c>
      <c r="D144" s="15">
        <v>98.49</v>
      </c>
      <c r="E144" s="13">
        <v>103.57</v>
      </c>
      <c r="F144" s="15">
        <v>56.74</v>
      </c>
      <c r="G144" s="15">
        <v>44.35</v>
      </c>
      <c r="H144" s="15">
        <v>26.33</v>
      </c>
      <c r="I144" s="15">
        <v>22.29</v>
      </c>
      <c r="J144" s="15">
        <v>22.73</v>
      </c>
      <c r="K144" s="15">
        <v>16.98</v>
      </c>
      <c r="L144" s="15">
        <v>8.01</v>
      </c>
      <c r="M144" s="15">
        <v>6.38</v>
      </c>
      <c r="N144" s="15">
        <v>7.07</v>
      </c>
      <c r="O144" s="15">
        <v>1.25</v>
      </c>
      <c r="P144" s="15">
        <v>1.38</v>
      </c>
    </row>
    <row r="145" spans="1:16" ht="15" customHeight="1" x14ac:dyDescent="0.3">
      <c r="A145" s="10" t="s">
        <v>180</v>
      </c>
      <c r="B145" s="11"/>
      <c r="C145" s="11"/>
      <c r="D145" s="11"/>
      <c r="E145" s="11"/>
      <c r="F145" s="11"/>
      <c r="G145" s="11"/>
      <c r="H145" s="11"/>
      <c r="I145" s="11"/>
      <c r="J145" s="11"/>
      <c r="K145" s="11"/>
      <c r="L145" s="11"/>
      <c r="M145" s="11"/>
      <c r="N145" s="11"/>
      <c r="O145" s="11"/>
      <c r="P145" s="11"/>
    </row>
    <row r="146" spans="1:16" s="34" customFormat="1" ht="15" customHeight="1" x14ac:dyDescent="0.3">
      <c r="A146" s="37" t="s">
        <v>181</v>
      </c>
      <c r="B146" s="32">
        <v>155.22999999999999</v>
      </c>
      <c r="C146" s="32">
        <v>155.1</v>
      </c>
      <c r="D146" s="32">
        <v>160.43</v>
      </c>
      <c r="E146" s="32">
        <v>161.91999999999999</v>
      </c>
      <c r="F146" s="32">
        <v>107.16</v>
      </c>
      <c r="G146" s="33">
        <v>86.99</v>
      </c>
      <c r="H146" s="33">
        <v>63.99</v>
      </c>
      <c r="I146" s="33">
        <v>56.34</v>
      </c>
      <c r="J146" s="33">
        <v>58.58</v>
      </c>
      <c r="K146" s="33">
        <v>51.95</v>
      </c>
      <c r="L146" s="33">
        <v>32.18</v>
      </c>
      <c r="M146" s="33">
        <v>30.52</v>
      </c>
      <c r="N146" s="33">
        <v>49.33</v>
      </c>
      <c r="O146" s="33">
        <v>40.07</v>
      </c>
      <c r="P146" s="33">
        <v>44.89</v>
      </c>
    </row>
    <row r="147" spans="1:16" ht="15" customHeight="1" x14ac:dyDescent="0.3">
      <c r="A147" s="14" t="s">
        <v>182</v>
      </c>
      <c r="B147" s="15">
        <v>61.99</v>
      </c>
      <c r="C147" s="15">
        <v>60.73</v>
      </c>
      <c r="D147" s="15">
        <v>61.94</v>
      </c>
      <c r="E147" s="15">
        <v>58.36</v>
      </c>
      <c r="F147" s="15">
        <v>50.42</v>
      </c>
      <c r="G147" s="15">
        <v>40</v>
      </c>
      <c r="H147" s="15">
        <v>34.39</v>
      </c>
      <c r="I147" s="15">
        <v>34.049999999999997</v>
      </c>
      <c r="J147" s="15">
        <v>32.47</v>
      </c>
      <c r="K147" s="15">
        <v>32.81</v>
      </c>
      <c r="L147" s="15">
        <v>24.17</v>
      </c>
      <c r="M147" s="15">
        <v>24.14</v>
      </c>
      <c r="N147" s="15">
        <v>42.26</v>
      </c>
      <c r="O147" s="15">
        <v>38.82</v>
      </c>
      <c r="P147" s="15">
        <v>43.52</v>
      </c>
    </row>
    <row r="148" spans="1:16" ht="15" customHeight="1" x14ac:dyDescent="0.3">
      <c r="A148" s="14" t="s">
        <v>183</v>
      </c>
      <c r="B148" s="15">
        <v>93.24</v>
      </c>
      <c r="C148" s="15">
        <v>94.38</v>
      </c>
      <c r="D148" s="15">
        <v>98.49</v>
      </c>
      <c r="E148" s="13">
        <v>103.57</v>
      </c>
      <c r="F148" s="15">
        <v>56.74</v>
      </c>
      <c r="G148" s="15">
        <v>44.35</v>
      </c>
      <c r="H148" s="15">
        <v>26.33</v>
      </c>
      <c r="I148" s="15">
        <v>22.29</v>
      </c>
      <c r="J148" s="15">
        <v>22.73</v>
      </c>
      <c r="K148" s="15">
        <v>16.98</v>
      </c>
      <c r="L148" s="15">
        <v>8.01</v>
      </c>
      <c r="M148" s="15">
        <v>6.38</v>
      </c>
      <c r="N148" s="15">
        <v>7.07</v>
      </c>
      <c r="O148" s="15">
        <v>1.25</v>
      </c>
      <c r="P148" s="15">
        <v>1.38</v>
      </c>
    </row>
    <row r="149" spans="1:16" ht="15" customHeight="1" x14ac:dyDescent="0.3">
      <c r="A149" s="10" t="s">
        <v>184</v>
      </c>
      <c r="B149" s="11"/>
      <c r="C149" s="11"/>
      <c r="D149" s="11"/>
      <c r="E149" s="11"/>
      <c r="F149" s="11"/>
      <c r="G149" s="11"/>
      <c r="H149" s="11"/>
      <c r="I149" s="11"/>
      <c r="J149" s="11"/>
      <c r="K149" s="11"/>
      <c r="L149" s="11"/>
      <c r="M149" s="11"/>
      <c r="N149" s="11"/>
      <c r="O149" s="11"/>
      <c r="P149" s="11"/>
    </row>
    <row r="150" spans="1:16" ht="15" customHeight="1" x14ac:dyDescent="0.3">
      <c r="A150" s="12" t="s">
        <v>185</v>
      </c>
      <c r="B150" s="19"/>
      <c r="C150" s="19"/>
      <c r="D150" s="19"/>
      <c r="E150" s="19"/>
      <c r="F150" s="13">
        <v>590.14</v>
      </c>
      <c r="G150" s="13">
        <v>491.67</v>
      </c>
      <c r="H150" s="13">
        <v>376.44</v>
      </c>
      <c r="I150" s="13">
        <v>383.61</v>
      </c>
      <c r="J150" s="13">
        <v>354.48</v>
      </c>
      <c r="K150" s="13">
        <v>326.3</v>
      </c>
      <c r="L150" s="13">
        <v>264.86</v>
      </c>
      <c r="M150" s="13">
        <v>231.42</v>
      </c>
      <c r="N150" s="13">
        <v>403.79</v>
      </c>
      <c r="O150" s="13">
        <v>356.56</v>
      </c>
      <c r="P150" s="13">
        <v>355.57</v>
      </c>
    </row>
    <row r="151" spans="1:16" ht="15" customHeight="1" x14ac:dyDescent="0.3">
      <c r="A151" s="12" t="s">
        <v>186</v>
      </c>
      <c r="B151" s="19"/>
      <c r="C151" s="19"/>
      <c r="D151" s="19"/>
      <c r="E151" s="19"/>
      <c r="F151" s="13">
        <v>572.28</v>
      </c>
      <c r="G151" s="13">
        <v>476.97</v>
      </c>
      <c r="H151" s="13">
        <v>376.44</v>
      </c>
      <c r="I151" s="13">
        <v>367.74</v>
      </c>
      <c r="J151" s="13">
        <v>343.57</v>
      </c>
      <c r="K151" s="13">
        <v>316.42</v>
      </c>
      <c r="L151" s="13">
        <v>257.87</v>
      </c>
      <c r="M151" s="13">
        <v>225.64</v>
      </c>
      <c r="N151" s="13">
        <v>396.24</v>
      </c>
      <c r="O151" s="13">
        <v>348.18</v>
      </c>
      <c r="P151" s="13">
        <v>344.65</v>
      </c>
    </row>
    <row r="152" spans="1:16" ht="15" customHeight="1" x14ac:dyDescent="0.3">
      <c r="A152" s="14" t="s">
        <v>187</v>
      </c>
      <c r="B152" s="15">
        <v>14.21</v>
      </c>
      <c r="C152" s="15">
        <v>20.25</v>
      </c>
      <c r="D152" s="15">
        <v>15.37</v>
      </c>
      <c r="E152" s="15">
        <v>20.51</v>
      </c>
      <c r="F152" s="15">
        <v>14.11</v>
      </c>
      <c r="G152" s="15">
        <v>11.61</v>
      </c>
      <c r="H152" s="19"/>
      <c r="I152" s="15">
        <v>9.52</v>
      </c>
      <c r="J152" s="15">
        <v>6.55</v>
      </c>
      <c r="K152" s="15">
        <v>5.92</v>
      </c>
      <c r="L152" s="15">
        <v>4.2</v>
      </c>
      <c r="M152" s="15">
        <v>3.47</v>
      </c>
      <c r="N152" s="15">
        <v>4.53</v>
      </c>
      <c r="O152" s="15">
        <v>5.03</v>
      </c>
      <c r="P152" s="15">
        <v>6.55</v>
      </c>
    </row>
    <row r="153" spans="1:16" ht="15" customHeight="1" x14ac:dyDescent="0.3">
      <c r="A153" s="18" t="s">
        <v>188</v>
      </c>
      <c r="B153" s="15">
        <v>17.989999999999998</v>
      </c>
      <c r="C153" s="15">
        <v>25.63</v>
      </c>
      <c r="D153" s="15">
        <v>19.46</v>
      </c>
      <c r="E153" s="15">
        <v>25.96</v>
      </c>
      <c r="F153" s="15">
        <v>17.86</v>
      </c>
      <c r="G153" s="15">
        <v>14.7</v>
      </c>
      <c r="H153" s="19"/>
      <c r="I153" s="15">
        <v>15.87</v>
      </c>
      <c r="J153" s="15">
        <v>10.91</v>
      </c>
      <c r="K153" s="15">
        <v>9.8699999999999992</v>
      </c>
      <c r="L153" s="15">
        <v>6.99</v>
      </c>
      <c r="M153" s="15">
        <v>5.78</v>
      </c>
      <c r="N153" s="15">
        <v>7.55</v>
      </c>
      <c r="O153" s="15">
        <v>8.3800000000000008</v>
      </c>
      <c r="P153" s="15">
        <v>10.92</v>
      </c>
    </row>
    <row r="154" spans="1:16" ht="15" customHeight="1" x14ac:dyDescent="0.3">
      <c r="A154" s="18" t="s">
        <v>189</v>
      </c>
      <c r="B154" s="15">
        <v>3.78</v>
      </c>
      <c r="C154" s="15">
        <v>5.38</v>
      </c>
      <c r="D154" s="15">
        <v>4.09</v>
      </c>
      <c r="E154" s="15">
        <v>5.45</v>
      </c>
      <c r="F154" s="15">
        <v>3.75</v>
      </c>
      <c r="G154" s="15">
        <v>3.09</v>
      </c>
      <c r="H154" s="19"/>
      <c r="I154" s="15">
        <v>6.35</v>
      </c>
      <c r="J154" s="15">
        <v>4.37</v>
      </c>
      <c r="K154" s="15">
        <v>3.95</v>
      </c>
      <c r="L154" s="15">
        <v>2.8</v>
      </c>
      <c r="M154" s="15">
        <v>2.31</v>
      </c>
      <c r="N154" s="15">
        <v>3.02</v>
      </c>
      <c r="O154" s="15">
        <v>3.35</v>
      </c>
      <c r="P154" s="15">
        <v>4.37</v>
      </c>
    </row>
    <row r="155" spans="1:16" ht="15" customHeight="1" x14ac:dyDescent="0.3">
      <c r="A155" s="10" t="s">
        <v>190</v>
      </c>
      <c r="B155" s="11"/>
      <c r="C155" s="11"/>
      <c r="D155" s="11"/>
      <c r="E155" s="11"/>
      <c r="F155" s="11"/>
      <c r="G155" s="11"/>
      <c r="H155" s="11"/>
      <c r="I155" s="11"/>
      <c r="J155" s="11"/>
      <c r="K155" s="11"/>
      <c r="L155" s="11"/>
      <c r="M155" s="11"/>
      <c r="N155" s="11"/>
      <c r="O155" s="11"/>
      <c r="P155" s="11"/>
    </row>
    <row r="156" spans="1:16" ht="15" customHeight="1" x14ac:dyDescent="0.3">
      <c r="A156" s="12" t="s">
        <v>190</v>
      </c>
      <c r="B156" s="19"/>
      <c r="C156" s="15">
        <v>2.15</v>
      </c>
      <c r="D156" s="15">
        <v>1.97</v>
      </c>
      <c r="E156" s="15">
        <v>2.4500000000000002</v>
      </c>
      <c r="F156" s="19"/>
      <c r="G156" s="19"/>
      <c r="H156" s="19"/>
      <c r="I156" s="19"/>
      <c r="J156" s="19"/>
      <c r="K156" s="19"/>
      <c r="L156" s="15">
        <v>3.08</v>
      </c>
      <c r="M156" s="19"/>
      <c r="N156" s="19"/>
      <c r="O156" s="19"/>
      <c r="P156" s="19"/>
    </row>
    <row r="157" spans="1:16" ht="15" customHeight="1" x14ac:dyDescent="0.3">
      <c r="A157" s="14" t="s">
        <v>191</v>
      </c>
      <c r="B157" s="19"/>
      <c r="C157" s="15">
        <v>2.15</v>
      </c>
      <c r="D157" s="15">
        <v>1.97</v>
      </c>
      <c r="E157" s="15">
        <v>2.42</v>
      </c>
      <c r="F157" s="19"/>
      <c r="G157" s="19"/>
      <c r="H157" s="19"/>
      <c r="I157" s="19"/>
      <c r="J157" s="19"/>
      <c r="K157" s="19"/>
      <c r="L157" s="15">
        <v>3.04</v>
      </c>
      <c r="M157" s="19"/>
      <c r="N157" s="19"/>
      <c r="O157" s="19"/>
      <c r="P157" s="19"/>
    </row>
    <row r="158" spans="1:16" ht="15" customHeight="1" x14ac:dyDescent="0.3">
      <c r="A158" s="14" t="s">
        <v>192</v>
      </c>
      <c r="B158" s="19"/>
      <c r="C158" s="19"/>
      <c r="D158" s="19"/>
      <c r="E158" s="19"/>
      <c r="F158" s="19"/>
      <c r="G158" s="19"/>
      <c r="H158" s="19"/>
      <c r="I158" s="19"/>
      <c r="J158" s="19"/>
      <c r="K158" s="19"/>
      <c r="L158" s="15">
        <v>0.04</v>
      </c>
      <c r="M158" s="19"/>
      <c r="N158" s="19"/>
      <c r="O158" s="19"/>
      <c r="P158" s="19"/>
    </row>
    <row r="159" spans="1:16" ht="15" customHeight="1" x14ac:dyDescent="0.3">
      <c r="A159" s="14" t="s">
        <v>193</v>
      </c>
      <c r="B159" s="19"/>
      <c r="C159" s="19"/>
      <c r="D159" s="19"/>
      <c r="E159" s="15">
        <v>0.04</v>
      </c>
      <c r="F159" s="19"/>
      <c r="G159" s="19"/>
      <c r="H159" s="19"/>
      <c r="I159" s="19"/>
      <c r="J159" s="19"/>
      <c r="K159" s="19"/>
      <c r="L159" s="19"/>
      <c r="M159" s="19"/>
      <c r="N159" s="19"/>
      <c r="O159" s="19"/>
      <c r="P159" s="19"/>
    </row>
    <row r="160" spans="1:16" ht="15" customHeight="1" x14ac:dyDescent="0.3">
      <c r="A160" s="10" t="s">
        <v>194</v>
      </c>
      <c r="B160" s="11"/>
      <c r="C160" s="11"/>
      <c r="D160" s="11"/>
      <c r="E160" s="11"/>
      <c r="F160" s="11"/>
      <c r="G160" s="11"/>
      <c r="H160" s="11"/>
      <c r="I160" s="11"/>
      <c r="J160" s="11"/>
      <c r="K160" s="11"/>
      <c r="L160" s="11"/>
      <c r="M160" s="11"/>
      <c r="N160" s="11"/>
      <c r="O160" s="11"/>
      <c r="P160" s="11"/>
    </row>
    <row r="161" spans="1:16" ht="15" customHeight="1" x14ac:dyDescent="0.3">
      <c r="A161" s="12" t="s">
        <v>195</v>
      </c>
      <c r="B161" s="13">
        <v>179.74</v>
      </c>
      <c r="C161" s="15">
        <v>42.83</v>
      </c>
      <c r="D161" s="13">
        <v>188.96</v>
      </c>
      <c r="E161" s="15">
        <v>99.27</v>
      </c>
      <c r="F161" s="13">
        <v>172.24</v>
      </c>
      <c r="G161" s="15">
        <v>27.76</v>
      </c>
      <c r="H161" s="15">
        <v>91.84</v>
      </c>
      <c r="I161" s="15">
        <v>15.53</v>
      </c>
      <c r="J161" s="15">
        <v>60.5</v>
      </c>
      <c r="K161" s="23">
        <v>-11.27</v>
      </c>
      <c r="L161" s="15">
        <v>19.170000000000002</v>
      </c>
      <c r="M161" s="23">
        <v>-10.09</v>
      </c>
      <c r="N161" s="15">
        <v>55.08</v>
      </c>
      <c r="O161" s="15">
        <v>6.04</v>
      </c>
      <c r="P161" s="15">
        <v>41.55</v>
      </c>
    </row>
    <row r="162" spans="1:16" ht="15" customHeight="1" x14ac:dyDescent="0.3">
      <c r="A162" s="12" t="s">
        <v>196</v>
      </c>
      <c r="B162" s="13">
        <v>179.74</v>
      </c>
      <c r="C162" s="15">
        <v>42.83</v>
      </c>
      <c r="D162" s="13">
        <v>188.96</v>
      </c>
      <c r="E162" s="15">
        <v>99.27</v>
      </c>
      <c r="F162" s="13">
        <v>172.24</v>
      </c>
      <c r="G162" s="15">
        <v>27.76</v>
      </c>
      <c r="H162" s="15">
        <v>91.84</v>
      </c>
      <c r="I162" s="15">
        <v>15.53</v>
      </c>
      <c r="J162" s="15">
        <v>60.5</v>
      </c>
      <c r="K162" s="23">
        <v>-11.27</v>
      </c>
      <c r="L162" s="15">
        <v>19.170000000000002</v>
      </c>
      <c r="M162" s="23">
        <v>-10.09</v>
      </c>
      <c r="N162" s="15">
        <v>55.08</v>
      </c>
      <c r="O162" s="15">
        <v>6.04</v>
      </c>
      <c r="P162" s="15">
        <v>41.55</v>
      </c>
    </row>
    <row r="163" spans="1:16" ht="15" customHeight="1" x14ac:dyDescent="0.3">
      <c r="A163" s="12" t="s">
        <v>197</v>
      </c>
      <c r="B163" s="13">
        <v>121.13</v>
      </c>
      <c r="C163" s="23">
        <v>-7.48</v>
      </c>
      <c r="D163" s="13">
        <v>134.99</v>
      </c>
      <c r="E163" s="15">
        <v>49.9</v>
      </c>
      <c r="F163" s="13">
        <v>168.53</v>
      </c>
      <c r="G163" s="15">
        <v>27.76</v>
      </c>
      <c r="H163" s="15">
        <v>91.35</v>
      </c>
      <c r="I163" s="15">
        <v>17.04</v>
      </c>
      <c r="J163" s="15">
        <v>59.68</v>
      </c>
      <c r="K163" s="23">
        <v>-11.27</v>
      </c>
      <c r="L163" s="15">
        <v>19.170000000000002</v>
      </c>
      <c r="M163" s="23">
        <v>-10.09</v>
      </c>
      <c r="N163" s="15">
        <v>55.35</v>
      </c>
      <c r="O163" s="15">
        <v>6.19</v>
      </c>
      <c r="P163" s="15">
        <v>27.05</v>
      </c>
    </row>
    <row r="164" spans="1:16" ht="15" customHeight="1" x14ac:dyDescent="0.3">
      <c r="A164" s="12" t="s">
        <v>198</v>
      </c>
      <c r="B164" s="13">
        <v>453.85</v>
      </c>
      <c r="C164" s="13">
        <v>236.61</v>
      </c>
      <c r="D164" s="13">
        <v>430.65</v>
      </c>
      <c r="E164" s="13">
        <v>335.62</v>
      </c>
      <c r="F164" s="13">
        <v>320.69</v>
      </c>
      <c r="G164" s="13">
        <v>111.27</v>
      </c>
      <c r="H164" s="13">
        <v>150.81</v>
      </c>
      <c r="I164" s="15">
        <v>26.38</v>
      </c>
      <c r="J164" s="13">
        <v>111.81</v>
      </c>
      <c r="K164" s="23">
        <v>-34.06</v>
      </c>
      <c r="L164" s="15">
        <v>27.55</v>
      </c>
      <c r="M164" s="23">
        <v>-11.55</v>
      </c>
      <c r="N164" s="15">
        <v>84.31</v>
      </c>
      <c r="O164" s="23">
        <v>-2.33</v>
      </c>
      <c r="P164" s="15">
        <v>46.05</v>
      </c>
    </row>
    <row r="165" spans="1:16" ht="15" customHeight="1" x14ac:dyDescent="0.3">
      <c r="A165" s="12" t="s">
        <v>199</v>
      </c>
      <c r="B165" s="13">
        <v>609.08000000000004</v>
      </c>
      <c r="C165" s="13">
        <v>391.72</v>
      </c>
      <c r="D165" s="13">
        <v>591.08000000000004</v>
      </c>
      <c r="E165" s="13">
        <v>497.55</v>
      </c>
      <c r="F165" s="13">
        <v>427.85</v>
      </c>
      <c r="G165" s="13">
        <v>198.26</v>
      </c>
      <c r="H165" s="13">
        <v>214.8</v>
      </c>
      <c r="I165" s="15">
        <v>82.72</v>
      </c>
      <c r="J165" s="13">
        <v>170.39</v>
      </c>
      <c r="K165" s="15">
        <v>17.899999999999999</v>
      </c>
      <c r="L165" s="15">
        <v>59.73</v>
      </c>
      <c r="M165" s="15">
        <v>18.97</v>
      </c>
      <c r="N165" s="13">
        <v>133.65</v>
      </c>
      <c r="O165" s="15">
        <v>37.74</v>
      </c>
      <c r="P165" s="15">
        <v>90.95</v>
      </c>
    </row>
    <row r="166" spans="1:16" ht="15" customHeight="1" x14ac:dyDescent="0.3">
      <c r="A166" s="10" t="s">
        <v>200</v>
      </c>
      <c r="B166" s="11"/>
      <c r="C166" s="11"/>
      <c r="D166" s="11"/>
      <c r="E166" s="11"/>
      <c r="F166" s="11"/>
      <c r="G166" s="11"/>
      <c r="H166" s="11"/>
      <c r="I166" s="11"/>
      <c r="J166" s="11"/>
      <c r="K166" s="11"/>
      <c r="L166" s="11"/>
      <c r="M166" s="11"/>
      <c r="N166" s="11"/>
      <c r="O166" s="11"/>
      <c r="P166" s="11"/>
    </row>
    <row r="167" spans="1:16" ht="15" customHeight="1" x14ac:dyDescent="0.3">
      <c r="A167" s="12" t="s">
        <v>201</v>
      </c>
      <c r="B167" s="15">
        <v>32.200000000000003</v>
      </c>
      <c r="C167" s="15">
        <v>27.4</v>
      </c>
      <c r="D167" s="15">
        <v>26.2</v>
      </c>
      <c r="E167" s="19"/>
      <c r="F167" s="19"/>
      <c r="G167" s="19"/>
      <c r="H167" s="19"/>
      <c r="I167" s="19"/>
      <c r="J167" s="19"/>
      <c r="K167" s="19"/>
      <c r="L167" s="19"/>
      <c r="M167" s="19"/>
      <c r="N167" s="19"/>
      <c r="O167" s="19"/>
      <c r="P167" s="19"/>
    </row>
    <row r="168" spans="1:16" ht="15" customHeight="1" x14ac:dyDescent="0.3">
      <c r="A168" s="14" t="s">
        <v>202</v>
      </c>
      <c r="B168" s="15">
        <v>22.8</v>
      </c>
      <c r="C168" s="15">
        <v>21</v>
      </c>
      <c r="D168" s="15">
        <v>24.2</v>
      </c>
      <c r="E168" s="15">
        <v>24.3</v>
      </c>
      <c r="F168" s="15">
        <v>21</v>
      </c>
      <c r="G168" s="15">
        <v>14.7</v>
      </c>
      <c r="H168" s="19"/>
      <c r="I168" s="19"/>
      <c r="J168" s="19"/>
      <c r="K168" s="19"/>
      <c r="L168" s="19"/>
      <c r="M168" s="19"/>
      <c r="N168" s="19"/>
      <c r="O168" s="19"/>
      <c r="P168" s="19"/>
    </row>
    <row r="169" spans="1:16" ht="15" customHeight="1" x14ac:dyDescent="0.3">
      <c r="A169" s="14" t="s">
        <v>203</v>
      </c>
      <c r="B169" s="15">
        <v>0.8</v>
      </c>
      <c r="C169" s="15">
        <v>0.8</v>
      </c>
      <c r="D169" s="15">
        <v>0.1</v>
      </c>
      <c r="E169" s="19"/>
      <c r="F169" s="19"/>
      <c r="G169" s="19"/>
      <c r="H169" s="19"/>
      <c r="I169" s="19"/>
      <c r="J169" s="19"/>
      <c r="K169" s="19"/>
      <c r="L169" s="19"/>
      <c r="M169" s="19"/>
      <c r="N169" s="19"/>
      <c r="O169" s="19"/>
      <c r="P169" s="19"/>
    </row>
    <row r="170" spans="1:16" ht="15" customHeight="1" x14ac:dyDescent="0.3">
      <c r="A170" s="14" t="s">
        <v>204</v>
      </c>
      <c r="B170" s="15">
        <v>2.2000000000000002</v>
      </c>
      <c r="C170" s="15">
        <v>2.1</v>
      </c>
      <c r="D170" s="15">
        <v>0.2</v>
      </c>
      <c r="E170" s="19"/>
      <c r="F170" s="19"/>
      <c r="G170" s="19"/>
      <c r="H170" s="19"/>
      <c r="I170" s="19"/>
      <c r="J170" s="19"/>
      <c r="K170" s="19"/>
      <c r="L170" s="19"/>
      <c r="M170" s="19"/>
      <c r="N170" s="19"/>
      <c r="O170" s="19"/>
      <c r="P170" s="19"/>
    </row>
    <row r="171" spans="1:16" ht="15" customHeight="1" x14ac:dyDescent="0.3">
      <c r="A171" s="14" t="s">
        <v>205</v>
      </c>
      <c r="B171" s="15">
        <v>6.4</v>
      </c>
      <c r="C171" s="15">
        <v>3.5</v>
      </c>
      <c r="D171" s="15">
        <v>1.7</v>
      </c>
      <c r="E171" s="15">
        <v>1.8</v>
      </c>
      <c r="F171" s="15">
        <v>0.5</v>
      </c>
      <c r="G171" s="15">
        <v>0.3</v>
      </c>
      <c r="H171" s="19"/>
      <c r="I171" s="19"/>
      <c r="J171" s="19"/>
      <c r="K171" s="19"/>
      <c r="L171" s="19"/>
      <c r="M171" s="19"/>
      <c r="N171" s="19"/>
      <c r="O171" s="19"/>
      <c r="P171" s="19"/>
    </row>
    <row r="172" spans="1:16" ht="15" customHeight="1" x14ac:dyDescent="0.3">
      <c r="A172" s="10" t="s">
        <v>206</v>
      </c>
      <c r="B172" s="11"/>
      <c r="C172" s="11"/>
      <c r="D172" s="11"/>
      <c r="E172" s="11"/>
      <c r="F172" s="11"/>
      <c r="G172" s="11"/>
      <c r="H172" s="11"/>
      <c r="I172" s="11"/>
      <c r="J172" s="11"/>
      <c r="K172" s="11"/>
      <c r="L172" s="11"/>
      <c r="M172" s="11"/>
      <c r="N172" s="11"/>
      <c r="O172" s="11"/>
      <c r="P172" s="11"/>
    </row>
    <row r="173" spans="1:16" ht="15" customHeight="1" x14ac:dyDescent="0.3">
      <c r="A173" s="12" t="s">
        <v>207</v>
      </c>
      <c r="B173" s="15">
        <v>22.8</v>
      </c>
      <c r="C173" s="15">
        <v>21</v>
      </c>
      <c r="D173" s="15">
        <v>24.2</v>
      </c>
      <c r="E173" s="15">
        <v>24.3</v>
      </c>
      <c r="F173" s="15">
        <v>21</v>
      </c>
      <c r="G173" s="15">
        <v>14.7</v>
      </c>
      <c r="H173" s="19"/>
      <c r="I173" s="15">
        <v>13.1</v>
      </c>
      <c r="J173" s="15">
        <v>11.1</v>
      </c>
      <c r="K173" s="15">
        <v>8.8000000000000007</v>
      </c>
      <c r="L173" s="15">
        <v>8.1999999999999993</v>
      </c>
      <c r="M173" s="15">
        <v>6.8</v>
      </c>
      <c r="N173" s="15">
        <v>10.3</v>
      </c>
      <c r="O173" s="15">
        <v>7.8</v>
      </c>
      <c r="P173" s="15">
        <v>8.5</v>
      </c>
    </row>
    <row r="174" spans="1:16" ht="15" customHeight="1" x14ac:dyDescent="0.3">
      <c r="A174" s="12" t="s">
        <v>208</v>
      </c>
      <c r="B174" s="19"/>
      <c r="C174" s="19"/>
      <c r="D174" s="19"/>
      <c r="E174" s="19"/>
      <c r="F174" s="19"/>
      <c r="G174" s="19"/>
      <c r="H174" s="19"/>
      <c r="I174" s="19"/>
      <c r="J174" s="19"/>
      <c r="K174" s="19"/>
      <c r="L174" s="15">
        <v>7</v>
      </c>
      <c r="M174" s="15">
        <v>7.56</v>
      </c>
      <c r="N174" s="19"/>
      <c r="O174" s="15">
        <v>11.1</v>
      </c>
      <c r="P174" s="19"/>
    </row>
    <row r="175" spans="1:16" ht="15" customHeight="1" x14ac:dyDescent="0.3">
      <c r="A175" s="12" t="s">
        <v>209</v>
      </c>
      <c r="B175" s="13">
        <v>1476</v>
      </c>
      <c r="C175" s="13">
        <v>1438.43</v>
      </c>
      <c r="D175" s="13">
        <v>1394.2</v>
      </c>
      <c r="E175" s="13">
        <v>1268.1500000000001</v>
      </c>
      <c r="F175" s="13">
        <v>637.94000000000005</v>
      </c>
      <c r="G175" s="13">
        <v>482.66</v>
      </c>
      <c r="H175" s="13">
        <v>375.3</v>
      </c>
      <c r="I175" s="13">
        <v>284.95</v>
      </c>
      <c r="J175" s="13">
        <v>227.82</v>
      </c>
      <c r="K175" s="13">
        <v>161.96</v>
      </c>
      <c r="L175" s="15">
        <v>87.67</v>
      </c>
      <c r="M175" s="15">
        <v>84.35</v>
      </c>
      <c r="N175" s="13">
        <v>207.76</v>
      </c>
      <c r="O175" s="13">
        <v>200.1</v>
      </c>
      <c r="P175" s="13">
        <v>200.24</v>
      </c>
    </row>
    <row r="176" spans="1:16" ht="15" customHeight="1" x14ac:dyDescent="0.3">
      <c r="A176" s="12" t="s">
        <v>210</v>
      </c>
      <c r="B176" s="13">
        <v>1320.77</v>
      </c>
      <c r="C176" s="13">
        <v>1283.32</v>
      </c>
      <c r="D176" s="13">
        <v>1233.77</v>
      </c>
      <c r="E176" s="13">
        <v>1106.23</v>
      </c>
      <c r="F176" s="13">
        <v>530.79</v>
      </c>
      <c r="G176" s="13">
        <v>398.31</v>
      </c>
      <c r="H176" s="13">
        <v>314.58999999999997</v>
      </c>
      <c r="I176" s="13">
        <v>228.61</v>
      </c>
      <c r="J176" s="13">
        <v>172.62</v>
      </c>
      <c r="K176" s="13">
        <v>112.17</v>
      </c>
      <c r="L176" s="15">
        <v>55.49</v>
      </c>
      <c r="M176" s="15">
        <v>53.83</v>
      </c>
      <c r="N176" s="13">
        <v>158.43</v>
      </c>
      <c r="O176" s="13">
        <v>160.03</v>
      </c>
      <c r="P176" s="13">
        <v>155.35</v>
      </c>
    </row>
    <row r="177" spans="1:16" ht="15" customHeight="1" x14ac:dyDescent="0.3">
      <c r="A177" s="12" t="s">
        <v>211</v>
      </c>
      <c r="B177" s="13">
        <v>210.34</v>
      </c>
      <c r="C177" s="13">
        <v>213.51</v>
      </c>
      <c r="D177" s="13">
        <v>161.13</v>
      </c>
      <c r="E177" s="13">
        <v>165.16</v>
      </c>
      <c r="F177" s="15">
        <v>92.99</v>
      </c>
      <c r="G177" s="15">
        <v>80.599999999999994</v>
      </c>
      <c r="H177" s="15">
        <v>36.18</v>
      </c>
      <c r="I177" s="15">
        <v>26.7</v>
      </c>
      <c r="J177" s="15">
        <v>18.04</v>
      </c>
      <c r="K177" s="15">
        <v>15.1</v>
      </c>
      <c r="L177" s="15">
        <v>8.49</v>
      </c>
      <c r="M177" s="15">
        <v>10.44</v>
      </c>
      <c r="N177" s="15">
        <v>12.25</v>
      </c>
      <c r="O177" s="15">
        <v>1.64</v>
      </c>
      <c r="P177" s="15">
        <v>3.67</v>
      </c>
    </row>
    <row r="178" spans="1:16" ht="15" customHeight="1" x14ac:dyDescent="0.3">
      <c r="A178" s="12" t="s">
        <v>61</v>
      </c>
      <c r="B178" s="13">
        <v>2082.1799999999998</v>
      </c>
      <c r="C178" s="13">
        <v>2053.1999999999998</v>
      </c>
      <c r="D178" s="13">
        <v>2017.36</v>
      </c>
      <c r="E178" s="13">
        <v>1863.25</v>
      </c>
      <c r="F178" s="13">
        <v>1534.65</v>
      </c>
      <c r="G178" s="13">
        <v>1236.06</v>
      </c>
      <c r="H178" s="13">
        <v>985.67</v>
      </c>
      <c r="I178" s="13">
        <v>838.55</v>
      </c>
      <c r="J178" s="13">
        <v>745.19</v>
      </c>
      <c r="K178" s="13">
        <v>627.83000000000004</v>
      </c>
      <c r="L178" s="13">
        <v>466.38</v>
      </c>
      <c r="M178" s="13">
        <v>432.27</v>
      </c>
      <c r="N178" s="13">
        <v>813.92</v>
      </c>
      <c r="O178" s="13">
        <v>730.44</v>
      </c>
      <c r="P178" s="13">
        <v>731.42</v>
      </c>
    </row>
    <row r="179" spans="1:16" ht="15" customHeight="1" x14ac:dyDescent="0.3">
      <c r="A179" s="12" t="s">
        <v>212</v>
      </c>
      <c r="B179" s="13">
        <v>606.17999999999995</v>
      </c>
      <c r="C179" s="13">
        <v>614.77</v>
      </c>
      <c r="D179" s="13">
        <v>623.16</v>
      </c>
      <c r="E179" s="13">
        <v>595.11</v>
      </c>
      <c r="F179" s="13">
        <v>572.28</v>
      </c>
      <c r="G179" s="13">
        <v>476.97</v>
      </c>
      <c r="H179" s="13">
        <v>376.44</v>
      </c>
      <c r="I179" s="13">
        <v>367.74</v>
      </c>
      <c r="J179" s="13">
        <v>343.57</v>
      </c>
      <c r="K179" s="13">
        <v>316.42</v>
      </c>
      <c r="L179" s="13">
        <v>296.02999999999997</v>
      </c>
      <c r="M179" s="13">
        <v>259.48</v>
      </c>
      <c r="N179" s="13">
        <v>396.24</v>
      </c>
      <c r="O179" s="13">
        <v>410.86</v>
      </c>
      <c r="P179" s="13">
        <v>344.65</v>
      </c>
    </row>
  </sheetData>
  <mergeCells count="75">
    <mergeCell ref="B11"/>
    <mergeCell ref="C11"/>
    <mergeCell ref="D11"/>
    <mergeCell ref="E11"/>
    <mergeCell ref="F11"/>
    <mergeCell ref="G11"/>
    <mergeCell ref="H11"/>
    <mergeCell ref="I11"/>
    <mergeCell ref="J11"/>
    <mergeCell ref="K11"/>
    <mergeCell ref="L11"/>
    <mergeCell ref="M11"/>
    <mergeCell ref="N11"/>
    <mergeCell ref="O11"/>
    <mergeCell ref="P11"/>
    <mergeCell ref="B12"/>
    <mergeCell ref="B13"/>
    <mergeCell ref="B14"/>
    <mergeCell ref="B15"/>
    <mergeCell ref="C12"/>
    <mergeCell ref="C13"/>
    <mergeCell ref="C14"/>
    <mergeCell ref="C15"/>
    <mergeCell ref="D12"/>
    <mergeCell ref="D13"/>
    <mergeCell ref="D14"/>
    <mergeCell ref="D15"/>
    <mergeCell ref="E12"/>
    <mergeCell ref="E13"/>
    <mergeCell ref="E14"/>
    <mergeCell ref="E15"/>
    <mergeCell ref="F12"/>
    <mergeCell ref="F13"/>
    <mergeCell ref="F14"/>
    <mergeCell ref="F15"/>
    <mergeCell ref="G12"/>
    <mergeCell ref="G13"/>
    <mergeCell ref="G14"/>
    <mergeCell ref="G15"/>
    <mergeCell ref="H12"/>
    <mergeCell ref="H13"/>
    <mergeCell ref="H14"/>
    <mergeCell ref="H15"/>
    <mergeCell ref="I12"/>
    <mergeCell ref="I13"/>
    <mergeCell ref="I14"/>
    <mergeCell ref="I15"/>
    <mergeCell ref="J12"/>
    <mergeCell ref="J13"/>
    <mergeCell ref="J14"/>
    <mergeCell ref="J15"/>
    <mergeCell ref="K12"/>
    <mergeCell ref="K13"/>
    <mergeCell ref="K14"/>
    <mergeCell ref="K15"/>
    <mergeCell ref="L12"/>
    <mergeCell ref="L13"/>
    <mergeCell ref="L14"/>
    <mergeCell ref="L15"/>
    <mergeCell ref="M12"/>
    <mergeCell ref="M13"/>
    <mergeCell ref="M14"/>
    <mergeCell ref="M15"/>
    <mergeCell ref="P12"/>
    <mergeCell ref="P13"/>
    <mergeCell ref="P14"/>
    <mergeCell ref="P15"/>
    <mergeCell ref="N12"/>
    <mergeCell ref="N13"/>
    <mergeCell ref="N14"/>
    <mergeCell ref="N15"/>
    <mergeCell ref="O12"/>
    <mergeCell ref="O13"/>
    <mergeCell ref="O14"/>
    <mergeCell ref="O15"/>
  </mergeCells>
  <pageMargins left="0.5" right="0.5" top="1" bottom="1" header="0.5" footer="0.7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246"/>
  <sheetViews>
    <sheetView topLeftCell="A224" zoomScale="110" workbookViewId="0">
      <selection activeCell="A11" sqref="A11"/>
    </sheetView>
  </sheetViews>
  <sheetFormatPr defaultRowHeight="14.4" outlineLevelRow="1" x14ac:dyDescent="0.3"/>
  <cols>
    <col min="1" max="1" width="85.6640625" customWidth="1"/>
    <col min="2" max="16" width="15.6640625" customWidth="1"/>
  </cols>
  <sheetData>
    <row r="1" spans="1:16" ht="15" customHeight="1" x14ac:dyDescent="0.3">
      <c r="A1" s="1" t="s">
        <v>213</v>
      </c>
      <c r="B1" s="2"/>
      <c r="C1" s="2"/>
      <c r="D1" s="2"/>
      <c r="E1" s="2"/>
      <c r="F1" s="2"/>
      <c r="G1" s="2"/>
      <c r="H1" s="2"/>
      <c r="I1" s="2"/>
      <c r="J1" s="2"/>
      <c r="K1" s="2"/>
      <c r="L1" s="2"/>
      <c r="M1" s="2"/>
      <c r="N1" s="2"/>
      <c r="O1" s="2"/>
      <c r="P1" s="2"/>
    </row>
    <row r="2" spans="1:16" ht="15" customHeight="1" x14ac:dyDescent="0.3">
      <c r="A2" s="3" t="s">
        <v>1</v>
      </c>
      <c r="B2" s="4" t="s">
        <v>2</v>
      </c>
    </row>
    <row r="3" spans="1:16" x14ac:dyDescent="0.3">
      <c r="A3" s="3" t="s">
        <v>3</v>
      </c>
      <c r="B3" s="3" t="s">
        <v>4</v>
      </c>
    </row>
    <row r="4" spans="1:16" x14ac:dyDescent="0.3">
      <c r="A4" s="3" t="s">
        <v>5</v>
      </c>
      <c r="B4" s="3" t="s">
        <v>4</v>
      </c>
    </row>
    <row r="5" spans="1:16" x14ac:dyDescent="0.3">
      <c r="A5" s="3" t="s">
        <v>6</v>
      </c>
      <c r="B5" s="3" t="s">
        <v>7</v>
      </c>
    </row>
    <row r="6" spans="1:16" x14ac:dyDescent="0.3">
      <c r="A6" s="3" t="s">
        <v>8</v>
      </c>
      <c r="B6" s="3" t="s">
        <v>9</v>
      </c>
    </row>
    <row r="7" spans="1:16" x14ac:dyDescent="0.3">
      <c r="A7" s="3" t="s">
        <v>10</v>
      </c>
      <c r="B7" s="3" t="s">
        <v>11</v>
      </c>
    </row>
    <row r="8" spans="1:16" x14ac:dyDescent="0.3">
      <c r="A8" s="3" t="s">
        <v>12</v>
      </c>
      <c r="B8" s="3" t="s">
        <v>13</v>
      </c>
    </row>
    <row r="9" spans="1:16" x14ac:dyDescent="0.3">
      <c r="A9" s="3" t="s">
        <v>14</v>
      </c>
      <c r="B9" s="3" t="s">
        <v>15</v>
      </c>
    </row>
    <row r="10" spans="1:16" x14ac:dyDescent="0.3">
      <c r="A10" s="3" t="s">
        <v>16</v>
      </c>
      <c r="B10" s="5">
        <v>45835.823177303202</v>
      </c>
    </row>
    <row r="11" spans="1:16" x14ac:dyDescent="0.3">
      <c r="A11" s="6" t="s">
        <v>17</v>
      </c>
      <c r="B11" s="78" t="s">
        <v>18</v>
      </c>
      <c r="C11" s="78" t="s">
        <v>19</v>
      </c>
      <c r="D11" s="78" t="s">
        <v>20</v>
      </c>
      <c r="E11" s="78" t="s">
        <v>21</v>
      </c>
      <c r="F11" s="78" t="s">
        <v>22</v>
      </c>
      <c r="G11" s="78" t="s">
        <v>23</v>
      </c>
      <c r="H11" s="78" t="s">
        <v>24</v>
      </c>
      <c r="I11" s="78" t="s">
        <v>25</v>
      </c>
      <c r="J11" s="78" t="s">
        <v>26</v>
      </c>
      <c r="K11" s="78" t="s">
        <v>27</v>
      </c>
      <c r="L11" s="78" t="s">
        <v>28</v>
      </c>
      <c r="M11" s="78" t="s">
        <v>29</v>
      </c>
      <c r="N11" s="78" t="s">
        <v>30</v>
      </c>
      <c r="O11" s="78" t="s">
        <v>31</v>
      </c>
      <c r="P11" s="78" t="s">
        <v>32</v>
      </c>
    </row>
    <row r="12" spans="1:16" ht="15" customHeight="1" outlineLevel="1" x14ac:dyDescent="0.3">
      <c r="A12" s="7" t="s">
        <v>33</v>
      </c>
      <c r="B12" s="76">
        <v>45657</v>
      </c>
      <c r="C12" s="76">
        <v>45291</v>
      </c>
      <c r="D12" s="76">
        <v>44926</v>
      </c>
      <c r="E12" s="76">
        <v>44561</v>
      </c>
      <c r="F12" s="76">
        <v>44196</v>
      </c>
      <c r="G12" s="76">
        <v>43830</v>
      </c>
      <c r="H12" s="76">
        <v>43465</v>
      </c>
      <c r="I12" s="76">
        <v>43100</v>
      </c>
      <c r="J12" s="76">
        <v>42735</v>
      </c>
      <c r="K12" s="76">
        <v>42369</v>
      </c>
      <c r="L12" s="76">
        <v>42004</v>
      </c>
      <c r="M12" s="76">
        <v>41639</v>
      </c>
      <c r="N12" s="76">
        <v>41274</v>
      </c>
      <c r="O12" s="76">
        <v>40908</v>
      </c>
      <c r="P12" s="76">
        <v>40543</v>
      </c>
    </row>
    <row r="13" spans="1:16" ht="15" customHeight="1" outlineLevel="1" x14ac:dyDescent="0.3">
      <c r="A13" s="7" t="s">
        <v>34</v>
      </c>
      <c r="B13" s="76">
        <v>45657</v>
      </c>
      <c r="C13" s="76">
        <v>45291</v>
      </c>
      <c r="D13" s="76">
        <v>44926</v>
      </c>
      <c r="E13" s="76">
        <v>44561</v>
      </c>
      <c r="F13" s="76">
        <v>44196</v>
      </c>
      <c r="G13" s="76">
        <v>44012</v>
      </c>
      <c r="H13" s="76">
        <v>43465</v>
      </c>
      <c r="I13" s="76">
        <v>43100</v>
      </c>
      <c r="J13" s="76">
        <v>43100</v>
      </c>
      <c r="K13" s="76">
        <v>42369</v>
      </c>
      <c r="L13" s="76">
        <v>42369</v>
      </c>
      <c r="M13" s="76">
        <v>41639</v>
      </c>
      <c r="N13" s="76">
        <v>41364</v>
      </c>
      <c r="O13" s="76">
        <v>40908</v>
      </c>
      <c r="P13" s="76">
        <v>40908</v>
      </c>
    </row>
    <row r="14" spans="1:16" ht="15" customHeight="1" outlineLevel="1" x14ac:dyDescent="0.3">
      <c r="A14" s="7" t="s">
        <v>35</v>
      </c>
      <c r="B14" s="77" t="s">
        <v>36</v>
      </c>
      <c r="C14" s="77" t="s">
        <v>36</v>
      </c>
      <c r="D14" s="77" t="s">
        <v>36</v>
      </c>
      <c r="E14" s="77" t="s">
        <v>36</v>
      </c>
      <c r="F14" s="77" t="s">
        <v>36</v>
      </c>
      <c r="G14" s="77" t="s">
        <v>36</v>
      </c>
      <c r="H14" s="77" t="s">
        <v>36</v>
      </c>
      <c r="I14" s="77" t="s">
        <v>36</v>
      </c>
      <c r="J14" s="77" t="s">
        <v>36</v>
      </c>
      <c r="K14" s="77" t="s">
        <v>36</v>
      </c>
      <c r="L14" s="77" t="s">
        <v>36</v>
      </c>
      <c r="M14" s="77" t="s">
        <v>36</v>
      </c>
      <c r="N14" s="77" t="s">
        <v>36</v>
      </c>
      <c r="O14" s="77" t="s">
        <v>36</v>
      </c>
      <c r="P14" s="77" t="s">
        <v>36</v>
      </c>
    </row>
    <row r="15" spans="1:16" ht="15" customHeight="1" outlineLevel="1" x14ac:dyDescent="0.3">
      <c r="A15" s="7" t="s">
        <v>37</v>
      </c>
      <c r="B15" s="77" t="s">
        <v>214</v>
      </c>
      <c r="C15" s="77" t="s">
        <v>214</v>
      </c>
      <c r="D15" s="77" t="s">
        <v>214</v>
      </c>
      <c r="E15" s="77" t="s">
        <v>214</v>
      </c>
      <c r="F15" s="77" t="s">
        <v>214</v>
      </c>
      <c r="G15" s="77" t="s">
        <v>214</v>
      </c>
      <c r="H15" s="77" t="s">
        <v>214</v>
      </c>
      <c r="I15" s="77" t="s">
        <v>214</v>
      </c>
      <c r="J15" s="77" t="s">
        <v>214</v>
      </c>
      <c r="K15" s="77" t="s">
        <v>214</v>
      </c>
      <c r="L15" s="77" t="s">
        <v>214</v>
      </c>
      <c r="M15" s="77" t="s">
        <v>214</v>
      </c>
      <c r="N15" s="77" t="s">
        <v>214</v>
      </c>
      <c r="O15" s="77" t="s">
        <v>214</v>
      </c>
      <c r="P15" s="77" t="s">
        <v>214</v>
      </c>
    </row>
    <row r="17" spans="1:16" x14ac:dyDescent="0.3">
      <c r="A17" s="8" t="s">
        <v>215</v>
      </c>
      <c r="B17" s="6"/>
      <c r="C17" s="6"/>
      <c r="D17" s="6"/>
      <c r="E17" s="6"/>
      <c r="F17" s="6"/>
      <c r="G17" s="6"/>
      <c r="H17" s="6"/>
      <c r="I17" s="6"/>
      <c r="J17" s="6"/>
      <c r="K17" s="6"/>
      <c r="L17" s="6"/>
      <c r="M17" s="6"/>
      <c r="N17" s="6"/>
      <c r="O17" s="6"/>
      <c r="P17" s="6"/>
    </row>
    <row r="18" spans="1:16" x14ac:dyDescent="0.3">
      <c r="A18" s="8" t="s">
        <v>40</v>
      </c>
      <c r="B18" s="9" t="s">
        <v>41</v>
      </c>
      <c r="C18" s="9" t="s">
        <v>42</v>
      </c>
      <c r="D18" s="9" t="s">
        <v>43</v>
      </c>
      <c r="E18" s="9" t="s">
        <v>44</v>
      </c>
      <c r="F18" s="9" t="s">
        <v>45</v>
      </c>
      <c r="G18" s="9" t="s">
        <v>46</v>
      </c>
      <c r="H18" s="9" t="s">
        <v>47</v>
      </c>
      <c r="I18" s="9" t="s">
        <v>48</v>
      </c>
      <c r="J18" s="9" t="s">
        <v>49</v>
      </c>
      <c r="K18" s="9" t="s">
        <v>50</v>
      </c>
      <c r="L18" s="9" t="s">
        <v>51</v>
      </c>
      <c r="M18" s="9" t="s">
        <v>52</v>
      </c>
      <c r="N18" s="9" t="s">
        <v>53</v>
      </c>
      <c r="O18" s="9" t="s">
        <v>54</v>
      </c>
      <c r="P18" s="9" t="s">
        <v>55</v>
      </c>
    </row>
    <row r="19" spans="1:16" ht="15" customHeight="1" x14ac:dyDescent="0.3">
      <c r="A19" s="10" t="s">
        <v>216</v>
      </c>
      <c r="B19" s="11"/>
      <c r="C19" s="11"/>
      <c r="D19" s="11"/>
      <c r="E19" s="11"/>
      <c r="F19" s="11"/>
      <c r="G19" s="11"/>
      <c r="H19" s="11"/>
      <c r="I19" s="11"/>
      <c r="J19" s="11"/>
      <c r="K19" s="11"/>
      <c r="L19" s="11"/>
      <c r="M19" s="11"/>
      <c r="N19" s="11"/>
      <c r="O19" s="11"/>
      <c r="P19" s="11"/>
    </row>
    <row r="20" spans="1:16" ht="15" customHeight="1" x14ac:dyDescent="0.3">
      <c r="A20" s="12" t="s">
        <v>217</v>
      </c>
      <c r="B20" s="15">
        <v>23.85</v>
      </c>
      <c r="C20" s="15">
        <v>35.32</v>
      </c>
      <c r="D20" s="15">
        <v>18.03</v>
      </c>
      <c r="E20" s="15">
        <v>66.22</v>
      </c>
      <c r="F20" s="13">
        <v>576.02</v>
      </c>
      <c r="G20" s="15">
        <v>32.97</v>
      </c>
      <c r="H20" s="13">
        <v>102.01</v>
      </c>
      <c r="I20" s="13">
        <v>148.69999999999999</v>
      </c>
      <c r="J20" s="13">
        <v>134.35</v>
      </c>
      <c r="K20" s="13">
        <v>108.06</v>
      </c>
      <c r="L20" s="13">
        <v>158.46</v>
      </c>
      <c r="M20" s="13">
        <v>221.26</v>
      </c>
      <c r="N20" s="13">
        <v>242.64</v>
      </c>
      <c r="O20" s="13">
        <v>127.89</v>
      </c>
      <c r="P20" s="13">
        <v>204.92</v>
      </c>
    </row>
    <row r="21" spans="1:16" ht="15" customHeight="1" x14ac:dyDescent="0.3">
      <c r="A21" s="14" t="s">
        <v>218</v>
      </c>
      <c r="B21" s="15">
        <v>23.85</v>
      </c>
      <c r="C21" s="15">
        <v>35.32</v>
      </c>
      <c r="D21" s="15">
        <v>18.03</v>
      </c>
      <c r="E21" s="15">
        <v>66.22</v>
      </c>
      <c r="F21" s="13">
        <v>576.02</v>
      </c>
      <c r="G21" s="15">
        <v>32.97</v>
      </c>
      <c r="H21" s="13">
        <v>102.01</v>
      </c>
      <c r="I21" s="13">
        <v>148.69999999999999</v>
      </c>
      <c r="J21" s="13">
        <v>134.35</v>
      </c>
      <c r="K21" s="13">
        <v>108.06</v>
      </c>
      <c r="L21" s="13">
        <v>158.46</v>
      </c>
      <c r="M21" s="13">
        <v>221.26</v>
      </c>
      <c r="N21" s="13">
        <v>242.64</v>
      </c>
      <c r="O21" s="13">
        <v>127.89</v>
      </c>
      <c r="P21" s="13">
        <v>204.92</v>
      </c>
    </row>
    <row r="22" spans="1:16" s="34" customFormat="1" ht="15" customHeight="1" x14ac:dyDescent="0.3">
      <c r="A22" s="37" t="s">
        <v>219</v>
      </c>
      <c r="B22" s="32">
        <v>568.19000000000005</v>
      </c>
      <c r="C22" s="32">
        <v>610.54</v>
      </c>
      <c r="D22" s="32">
        <v>600.1</v>
      </c>
      <c r="E22" s="32">
        <v>573.29999999999995</v>
      </c>
      <c r="F22" s="32">
        <v>441.38</v>
      </c>
      <c r="G22" s="32">
        <v>417.5</v>
      </c>
      <c r="H22" s="32">
        <v>300.57</v>
      </c>
      <c r="I22" s="32">
        <v>245.37</v>
      </c>
      <c r="J22" s="32">
        <v>178.54</v>
      </c>
      <c r="K22" s="32">
        <v>176.53</v>
      </c>
      <c r="L22" s="33">
        <v>99.61</v>
      </c>
      <c r="M22" s="32">
        <v>140.13999999999999</v>
      </c>
      <c r="N22" s="32">
        <v>128.57</v>
      </c>
      <c r="O22" s="32">
        <v>165.32</v>
      </c>
      <c r="P22" s="32">
        <v>130.16</v>
      </c>
    </row>
    <row r="23" spans="1:16" s="34" customFormat="1" ht="15" customHeight="1" x14ac:dyDescent="0.3">
      <c r="A23" s="31" t="s">
        <v>220</v>
      </c>
      <c r="B23" s="32">
        <v>568.19000000000005</v>
      </c>
      <c r="C23" s="32">
        <v>610.54</v>
      </c>
      <c r="D23" s="32">
        <v>600.1</v>
      </c>
      <c r="E23" s="32">
        <v>572.53</v>
      </c>
      <c r="F23" s="32">
        <v>429.02</v>
      </c>
      <c r="G23" s="32">
        <v>387.85</v>
      </c>
      <c r="H23" s="32">
        <v>281.33</v>
      </c>
      <c r="I23" s="32">
        <v>245.37</v>
      </c>
      <c r="J23" s="32">
        <v>178.54</v>
      </c>
      <c r="K23" s="32">
        <v>171.9</v>
      </c>
      <c r="L23" s="33">
        <v>99.61</v>
      </c>
      <c r="M23" s="32">
        <v>139.69999999999999</v>
      </c>
      <c r="N23" s="32">
        <v>125.64</v>
      </c>
      <c r="O23" s="32">
        <v>135.54</v>
      </c>
      <c r="P23" s="32">
        <v>115.57</v>
      </c>
    </row>
    <row r="24" spans="1:16" ht="15" customHeight="1" x14ac:dyDescent="0.3">
      <c r="A24" s="18" t="s">
        <v>221</v>
      </c>
      <c r="B24" s="13">
        <v>575.64</v>
      </c>
      <c r="C24" s="13">
        <v>615.58000000000004</v>
      </c>
      <c r="D24" s="13">
        <v>605.05999999999995</v>
      </c>
      <c r="E24" s="13">
        <v>576.78</v>
      </c>
      <c r="F24" s="13">
        <v>432.46</v>
      </c>
      <c r="G24" s="13">
        <v>391.19</v>
      </c>
      <c r="H24" s="13">
        <v>285.7</v>
      </c>
      <c r="I24" s="13">
        <v>247.31</v>
      </c>
      <c r="J24" s="13">
        <v>180.03</v>
      </c>
      <c r="K24" s="13">
        <v>173.51</v>
      </c>
      <c r="L24" s="13">
        <v>101</v>
      </c>
      <c r="M24" s="13">
        <v>141.72999999999999</v>
      </c>
      <c r="N24" s="13">
        <v>128.13</v>
      </c>
      <c r="O24" s="13">
        <v>137.41999999999999</v>
      </c>
      <c r="P24" s="13">
        <v>118.36</v>
      </c>
    </row>
    <row r="25" spans="1:16" ht="15" customHeight="1" x14ac:dyDescent="0.3">
      <c r="A25" s="18" t="s">
        <v>222</v>
      </c>
      <c r="B25" s="15">
        <v>7.45</v>
      </c>
      <c r="C25" s="15">
        <v>5.04</v>
      </c>
      <c r="D25" s="15">
        <v>4.96</v>
      </c>
      <c r="E25" s="15">
        <v>4.26</v>
      </c>
      <c r="F25" s="15">
        <v>3.44</v>
      </c>
      <c r="G25" s="15">
        <v>3.35</v>
      </c>
      <c r="H25" s="15">
        <v>4.37</v>
      </c>
      <c r="I25" s="15">
        <v>1.95</v>
      </c>
      <c r="J25" s="15">
        <v>1.49</v>
      </c>
      <c r="K25" s="15">
        <v>1.61</v>
      </c>
      <c r="L25" s="15">
        <v>1.39</v>
      </c>
      <c r="M25" s="15">
        <v>2.0299999999999998</v>
      </c>
      <c r="N25" s="15">
        <v>2.4900000000000002</v>
      </c>
      <c r="O25" s="15">
        <v>1.89</v>
      </c>
      <c r="P25" s="15">
        <v>2.79</v>
      </c>
    </row>
    <row r="26" spans="1:16" ht="15" customHeight="1" x14ac:dyDescent="0.3">
      <c r="A26" s="14" t="s">
        <v>223</v>
      </c>
      <c r="B26" s="19"/>
      <c r="C26" s="19"/>
      <c r="D26" s="19"/>
      <c r="E26" s="19"/>
      <c r="F26" s="19"/>
      <c r="G26" s="19"/>
      <c r="H26" s="19"/>
      <c r="I26" s="19"/>
      <c r="J26" s="19"/>
      <c r="K26" s="15">
        <v>4.63</v>
      </c>
      <c r="L26" s="19">
        <v>0</v>
      </c>
      <c r="M26" s="15">
        <v>0.44</v>
      </c>
      <c r="N26" s="15">
        <v>2.93</v>
      </c>
      <c r="O26" s="15">
        <v>29.79</v>
      </c>
      <c r="P26" s="15">
        <v>14.6</v>
      </c>
    </row>
    <row r="27" spans="1:16" s="34" customFormat="1" ht="15" customHeight="1" x14ac:dyDescent="0.3">
      <c r="A27" s="31" t="s">
        <v>224</v>
      </c>
      <c r="B27" s="38"/>
      <c r="C27" s="38"/>
      <c r="D27" s="38">
        <v>0</v>
      </c>
      <c r="E27" s="33">
        <v>0.77</v>
      </c>
      <c r="F27" s="33">
        <v>12.36</v>
      </c>
      <c r="G27" s="33">
        <v>29.65</v>
      </c>
      <c r="H27" s="33">
        <v>19.239999999999998</v>
      </c>
      <c r="I27" s="38"/>
      <c r="J27" s="38"/>
      <c r="K27" s="38"/>
      <c r="L27" s="38"/>
      <c r="M27" s="38"/>
      <c r="N27" s="38"/>
      <c r="O27" s="38"/>
      <c r="P27" s="38"/>
    </row>
    <row r="28" spans="1:16" s="34" customFormat="1" ht="15" customHeight="1" x14ac:dyDescent="0.3">
      <c r="A28" s="37" t="s">
        <v>225</v>
      </c>
      <c r="B28" s="38"/>
      <c r="C28" s="38"/>
      <c r="D28" s="38"/>
      <c r="E28" s="38"/>
      <c r="F28" s="38"/>
      <c r="G28" s="38"/>
      <c r="H28" s="38"/>
      <c r="I28" s="38"/>
      <c r="J28" s="38"/>
      <c r="K28" s="38"/>
      <c r="L28" s="38"/>
      <c r="M28" s="33">
        <v>6.54</v>
      </c>
      <c r="N28" s="33">
        <v>6.44</v>
      </c>
      <c r="O28" s="33">
        <v>6.78</v>
      </c>
      <c r="P28" s="33">
        <v>7.86</v>
      </c>
    </row>
    <row r="29" spans="1:16" ht="15" customHeight="1" x14ac:dyDescent="0.3">
      <c r="A29" s="12" t="s">
        <v>226</v>
      </c>
      <c r="B29" s="19"/>
      <c r="C29" s="19"/>
      <c r="D29" s="19"/>
      <c r="E29" s="19"/>
      <c r="F29" s="19">
        <v>0</v>
      </c>
      <c r="G29" s="13">
        <v>101.27</v>
      </c>
      <c r="H29" s="19">
        <v>0</v>
      </c>
      <c r="I29" s="13">
        <v>136</v>
      </c>
      <c r="J29" s="15">
        <v>14.22</v>
      </c>
      <c r="K29" s="19">
        <v>0</v>
      </c>
      <c r="L29" s="15">
        <v>44.43</v>
      </c>
      <c r="M29" s="19"/>
      <c r="N29" s="19"/>
      <c r="O29" s="19"/>
      <c r="P29" s="19"/>
    </row>
    <row r="30" spans="1:16" ht="15" customHeight="1" x14ac:dyDescent="0.3">
      <c r="A30" s="12" t="s">
        <v>227</v>
      </c>
      <c r="B30" s="15">
        <v>37.97</v>
      </c>
      <c r="C30" s="15">
        <v>30.23</v>
      </c>
      <c r="D30" s="15">
        <v>25.82</v>
      </c>
      <c r="E30" s="15">
        <v>62.76</v>
      </c>
      <c r="F30" s="13">
        <v>1076.78</v>
      </c>
      <c r="G30" s="15">
        <v>92.19</v>
      </c>
      <c r="H30" s="15">
        <v>68.430000000000007</v>
      </c>
      <c r="I30" s="15">
        <v>75.47</v>
      </c>
      <c r="J30" s="15">
        <v>18.79</v>
      </c>
      <c r="K30" s="15">
        <v>18.04</v>
      </c>
      <c r="L30" s="15">
        <v>13.33</v>
      </c>
      <c r="M30" s="15">
        <v>34.119999999999997</v>
      </c>
      <c r="N30" s="15">
        <v>25.06</v>
      </c>
      <c r="O30" s="15">
        <v>25.42</v>
      </c>
      <c r="P30" s="15">
        <v>19.63</v>
      </c>
    </row>
    <row r="31" spans="1:16" ht="15" customHeight="1" x14ac:dyDescent="0.3">
      <c r="A31" s="14" t="s">
        <v>228</v>
      </c>
      <c r="B31" s="19"/>
      <c r="C31" s="19"/>
      <c r="D31" s="19"/>
      <c r="E31" s="19"/>
      <c r="F31" s="19"/>
      <c r="G31" s="19"/>
      <c r="H31" s="19"/>
      <c r="I31" s="19"/>
      <c r="J31" s="19"/>
      <c r="K31" s="19"/>
      <c r="L31" s="19"/>
      <c r="M31" s="15">
        <v>17.86</v>
      </c>
      <c r="N31" s="15">
        <v>7.21</v>
      </c>
      <c r="O31" s="15">
        <v>7.23</v>
      </c>
      <c r="P31" s="15">
        <v>8.91</v>
      </c>
    </row>
    <row r="32" spans="1:16" ht="15" customHeight="1" x14ac:dyDescent="0.3">
      <c r="A32" s="14" t="s">
        <v>229</v>
      </c>
      <c r="B32" s="19"/>
      <c r="C32" s="19"/>
      <c r="D32" s="19">
        <v>0</v>
      </c>
      <c r="E32" s="15">
        <v>34.26</v>
      </c>
      <c r="F32" s="13">
        <v>1050</v>
      </c>
      <c r="G32" s="19"/>
      <c r="H32" s="15">
        <v>5.0999999999999996</v>
      </c>
      <c r="I32" s="19"/>
      <c r="J32" s="19"/>
      <c r="K32" s="15">
        <v>6.56</v>
      </c>
      <c r="L32" s="15">
        <v>6.81</v>
      </c>
      <c r="M32" s="15">
        <v>8.2100000000000009</v>
      </c>
      <c r="N32" s="15">
        <v>10.01</v>
      </c>
      <c r="O32" s="15">
        <v>10.01</v>
      </c>
      <c r="P32" s="15">
        <v>2.5</v>
      </c>
    </row>
    <row r="33" spans="1:16" s="34" customFormat="1" ht="15" customHeight="1" x14ac:dyDescent="0.3">
      <c r="A33" s="31" t="s">
        <v>230</v>
      </c>
      <c r="B33" s="33">
        <v>37.97</v>
      </c>
      <c r="C33" s="33">
        <v>30.23</v>
      </c>
      <c r="D33" s="33">
        <v>25.82</v>
      </c>
      <c r="E33" s="33">
        <v>28.5</v>
      </c>
      <c r="F33" s="33">
        <v>26.78</v>
      </c>
      <c r="G33" s="33">
        <v>92.19</v>
      </c>
      <c r="H33" s="33">
        <v>63.33</v>
      </c>
      <c r="I33" s="33">
        <v>75.47</v>
      </c>
      <c r="J33" s="33">
        <v>18.79</v>
      </c>
      <c r="K33" s="33">
        <v>11.48</v>
      </c>
      <c r="L33" s="33">
        <v>6.52</v>
      </c>
      <c r="M33" s="33">
        <v>8.0500000000000007</v>
      </c>
      <c r="N33" s="33">
        <v>7.84</v>
      </c>
      <c r="O33" s="33">
        <v>8.18</v>
      </c>
      <c r="P33" s="33">
        <v>8.2200000000000006</v>
      </c>
    </row>
    <row r="34" spans="1:16" ht="15" customHeight="1" x14ac:dyDescent="0.3">
      <c r="A34" s="16" t="s">
        <v>231</v>
      </c>
      <c r="B34" s="17">
        <v>630.02</v>
      </c>
      <c r="C34" s="17">
        <v>676.09</v>
      </c>
      <c r="D34" s="17">
        <v>643.94000000000005</v>
      </c>
      <c r="E34" s="17">
        <v>702.28</v>
      </c>
      <c r="F34" s="17">
        <v>2094.19</v>
      </c>
      <c r="G34" s="17">
        <v>643.91999999999996</v>
      </c>
      <c r="H34" s="17">
        <v>471.02</v>
      </c>
      <c r="I34" s="17">
        <v>605.53</v>
      </c>
      <c r="J34" s="17">
        <v>345.9</v>
      </c>
      <c r="K34" s="17">
        <v>302.63</v>
      </c>
      <c r="L34" s="17">
        <v>315.82</v>
      </c>
      <c r="M34" s="17">
        <v>402.05</v>
      </c>
      <c r="N34" s="17">
        <v>402.7</v>
      </c>
      <c r="O34" s="17">
        <v>325.41000000000003</v>
      </c>
      <c r="P34" s="17">
        <v>362.58</v>
      </c>
    </row>
    <row r="35" spans="1:16" ht="15" customHeight="1" x14ac:dyDescent="0.3">
      <c r="A35" s="10" t="s">
        <v>232</v>
      </c>
      <c r="B35" s="11"/>
      <c r="C35" s="11"/>
      <c r="D35" s="11"/>
      <c r="E35" s="11"/>
      <c r="F35" s="11"/>
      <c r="G35" s="11"/>
      <c r="H35" s="11"/>
      <c r="I35" s="11"/>
      <c r="J35" s="11"/>
      <c r="K35" s="11"/>
      <c r="L35" s="11"/>
      <c r="M35" s="11"/>
      <c r="N35" s="11"/>
      <c r="O35" s="11"/>
      <c r="P35" s="11"/>
    </row>
    <row r="36" spans="1:16" ht="15" customHeight="1" x14ac:dyDescent="0.3">
      <c r="A36" s="12" t="s">
        <v>233</v>
      </c>
      <c r="B36" s="15">
        <v>8.8800000000000008</v>
      </c>
      <c r="C36" s="15">
        <v>23.27</v>
      </c>
      <c r="D36" s="15">
        <v>23.14</v>
      </c>
      <c r="E36" s="15">
        <v>21.63</v>
      </c>
      <c r="F36" s="15">
        <v>14.4</v>
      </c>
      <c r="G36" s="15">
        <v>8.3800000000000008</v>
      </c>
      <c r="H36" s="15">
        <v>4.1100000000000003</v>
      </c>
      <c r="I36" s="15">
        <v>4.5999999999999996</v>
      </c>
      <c r="J36" s="15">
        <v>10.77</v>
      </c>
      <c r="K36" s="15">
        <v>10.65</v>
      </c>
      <c r="L36" s="15">
        <v>5.43</v>
      </c>
      <c r="M36" s="15">
        <v>16.57</v>
      </c>
      <c r="N36" s="15">
        <v>21.12</v>
      </c>
      <c r="O36" s="15">
        <v>15.3</v>
      </c>
      <c r="P36" s="15">
        <v>10.37</v>
      </c>
    </row>
    <row r="37" spans="1:16" ht="15" customHeight="1" x14ac:dyDescent="0.3">
      <c r="A37" s="14" t="s">
        <v>234</v>
      </c>
      <c r="B37" s="15">
        <v>8.8800000000000008</v>
      </c>
      <c r="C37" s="15">
        <v>23.27</v>
      </c>
      <c r="D37" s="15">
        <v>23.14</v>
      </c>
      <c r="E37" s="15">
        <v>21.63</v>
      </c>
      <c r="F37" s="15">
        <v>14.4</v>
      </c>
      <c r="G37" s="15">
        <v>8.3800000000000008</v>
      </c>
      <c r="H37" s="15">
        <v>4.1100000000000003</v>
      </c>
      <c r="I37" s="15">
        <v>4.5999999999999996</v>
      </c>
      <c r="J37" s="15">
        <v>10.77</v>
      </c>
      <c r="K37" s="15">
        <v>10.65</v>
      </c>
      <c r="L37" s="15">
        <v>5.43</v>
      </c>
      <c r="M37" s="15">
        <v>16.57</v>
      </c>
      <c r="N37" s="15">
        <v>21.12</v>
      </c>
      <c r="O37" s="15">
        <v>15.3</v>
      </c>
      <c r="P37" s="15">
        <v>10.37</v>
      </c>
    </row>
    <row r="38" spans="1:16" ht="15" customHeight="1" x14ac:dyDescent="0.3">
      <c r="A38" s="12" t="s">
        <v>235</v>
      </c>
      <c r="B38" s="19"/>
      <c r="C38" s="19"/>
      <c r="D38" s="19"/>
      <c r="E38" s="19"/>
      <c r="F38" s="19"/>
      <c r="G38" s="19"/>
      <c r="H38" s="15">
        <v>3.05</v>
      </c>
      <c r="I38" s="15">
        <v>3.1</v>
      </c>
      <c r="J38" s="15">
        <v>3.45</v>
      </c>
      <c r="K38" s="15">
        <v>3.2</v>
      </c>
      <c r="L38" s="15">
        <v>4.0199999999999996</v>
      </c>
      <c r="M38" s="19"/>
      <c r="N38" s="19"/>
      <c r="O38" s="15">
        <v>7.92</v>
      </c>
      <c r="P38" s="15">
        <v>0.28999999999999998</v>
      </c>
    </row>
    <row r="39" spans="1:16" ht="15" customHeight="1" x14ac:dyDescent="0.3">
      <c r="A39" s="12" t="s">
        <v>236</v>
      </c>
      <c r="B39" s="13">
        <v>544.04</v>
      </c>
      <c r="C39" s="13">
        <v>554.45000000000005</v>
      </c>
      <c r="D39" s="13">
        <v>576.47</v>
      </c>
      <c r="E39" s="13">
        <v>581.77</v>
      </c>
      <c r="F39" s="13">
        <v>395.39</v>
      </c>
      <c r="G39" s="13">
        <v>498.57</v>
      </c>
      <c r="H39" s="13">
        <v>237.93</v>
      </c>
      <c r="I39" s="13">
        <v>210</v>
      </c>
      <c r="J39" s="13">
        <v>225.44</v>
      </c>
      <c r="K39" s="13">
        <v>271.05</v>
      </c>
      <c r="L39" s="13">
        <v>157.84</v>
      </c>
      <c r="M39" s="13">
        <v>353.8</v>
      </c>
      <c r="N39" s="13">
        <v>374.93</v>
      </c>
      <c r="O39" s="13">
        <v>387.97</v>
      </c>
      <c r="P39" s="13">
        <v>389.65</v>
      </c>
    </row>
    <row r="40" spans="1:16" ht="15" customHeight="1" x14ac:dyDescent="0.3">
      <c r="A40" s="14" t="s">
        <v>237</v>
      </c>
      <c r="B40" s="13">
        <v>544.04</v>
      </c>
      <c r="C40" s="13">
        <v>554.45000000000005</v>
      </c>
      <c r="D40" s="13">
        <v>576.47</v>
      </c>
      <c r="E40" s="13">
        <v>581.77</v>
      </c>
      <c r="F40" s="13">
        <v>395.39</v>
      </c>
      <c r="G40" s="13">
        <v>498.57</v>
      </c>
      <c r="H40" s="13">
        <v>237.93</v>
      </c>
      <c r="I40" s="13">
        <v>210</v>
      </c>
      <c r="J40" s="13">
        <v>225.44</v>
      </c>
      <c r="K40" s="13">
        <v>271.05</v>
      </c>
      <c r="L40" s="13">
        <v>157.84</v>
      </c>
      <c r="M40" s="13">
        <v>353.8</v>
      </c>
      <c r="N40" s="19"/>
      <c r="O40" s="13">
        <v>387.97</v>
      </c>
      <c r="P40" s="13">
        <v>389.65</v>
      </c>
    </row>
    <row r="41" spans="1:16" ht="15" customHeight="1" x14ac:dyDescent="0.3">
      <c r="A41" s="18" t="s">
        <v>238</v>
      </c>
      <c r="B41" s="19"/>
      <c r="C41" s="19"/>
      <c r="D41" s="19"/>
      <c r="E41" s="19"/>
      <c r="F41" s="19"/>
      <c r="G41" s="13">
        <v>128.19</v>
      </c>
      <c r="H41" s="19"/>
      <c r="I41" s="19"/>
      <c r="J41" s="19"/>
      <c r="K41" s="19"/>
      <c r="L41" s="19"/>
      <c r="M41" s="19"/>
      <c r="N41" s="19"/>
      <c r="O41" s="19"/>
      <c r="P41" s="19"/>
    </row>
    <row r="42" spans="1:16" ht="15" customHeight="1" x14ac:dyDescent="0.3">
      <c r="A42" s="26" t="s">
        <v>239</v>
      </c>
      <c r="B42" s="19"/>
      <c r="C42" s="19"/>
      <c r="D42" s="19"/>
      <c r="E42" s="19"/>
      <c r="F42" s="19"/>
      <c r="G42" s="13">
        <v>128.19</v>
      </c>
      <c r="H42" s="19"/>
      <c r="I42" s="19"/>
      <c r="J42" s="19"/>
      <c r="K42" s="19"/>
      <c r="L42" s="19"/>
      <c r="M42" s="19"/>
      <c r="N42" s="19"/>
      <c r="O42" s="19"/>
      <c r="P42" s="19"/>
    </row>
    <row r="43" spans="1:16" ht="15" customHeight="1" x14ac:dyDescent="0.3">
      <c r="A43" s="18" t="s">
        <v>240</v>
      </c>
      <c r="B43" s="19"/>
      <c r="C43" s="19"/>
      <c r="D43" s="19"/>
      <c r="E43" s="19"/>
      <c r="F43" s="19"/>
      <c r="G43" s="13">
        <v>370.38</v>
      </c>
      <c r="H43" s="19"/>
      <c r="I43" s="19"/>
      <c r="J43" s="19"/>
      <c r="K43" s="19"/>
      <c r="L43" s="19"/>
      <c r="M43" s="19"/>
      <c r="N43" s="19"/>
      <c r="O43" s="19"/>
      <c r="P43" s="19"/>
    </row>
    <row r="44" spans="1:16" ht="15" customHeight="1" x14ac:dyDescent="0.3">
      <c r="A44" s="14" t="s">
        <v>241</v>
      </c>
      <c r="B44" s="13">
        <v>1111.27</v>
      </c>
      <c r="C44" s="13">
        <v>1070.3699999999999</v>
      </c>
      <c r="D44" s="13">
        <v>1038.6600000000001</v>
      </c>
      <c r="E44" s="13">
        <v>1000.15</v>
      </c>
      <c r="F44" s="13">
        <v>770.67</v>
      </c>
      <c r="G44" s="19"/>
      <c r="H44" s="13">
        <v>560.54999999999995</v>
      </c>
      <c r="I44" s="13">
        <v>510.62</v>
      </c>
      <c r="J44" s="13">
        <v>498.54</v>
      </c>
      <c r="K44" s="13">
        <v>522.22</v>
      </c>
      <c r="L44" s="13">
        <v>384.83</v>
      </c>
      <c r="M44" s="13">
        <v>813.76</v>
      </c>
      <c r="N44" s="19"/>
      <c r="O44" s="13">
        <v>819</v>
      </c>
      <c r="P44" s="13">
        <v>843.38</v>
      </c>
    </row>
    <row r="45" spans="1:16" ht="15" customHeight="1" x14ac:dyDescent="0.3">
      <c r="A45" s="18" t="s">
        <v>242</v>
      </c>
      <c r="B45" s="13">
        <v>1111.27</v>
      </c>
      <c r="C45" s="13">
        <v>1070.3699999999999</v>
      </c>
      <c r="D45" s="13">
        <v>1038.6600000000001</v>
      </c>
      <c r="E45" s="13">
        <v>1000.15</v>
      </c>
      <c r="F45" s="13">
        <v>770.67</v>
      </c>
      <c r="G45" s="19"/>
      <c r="H45" s="13">
        <v>560.54999999999995</v>
      </c>
      <c r="I45" s="13">
        <v>510.62</v>
      </c>
      <c r="J45" s="13">
        <v>498.54</v>
      </c>
      <c r="K45" s="13">
        <v>522.22</v>
      </c>
      <c r="L45" s="13">
        <v>384.83</v>
      </c>
      <c r="M45" s="13">
        <v>813.76</v>
      </c>
      <c r="N45" s="19"/>
      <c r="O45" s="13">
        <v>819</v>
      </c>
      <c r="P45" s="13">
        <v>843.38</v>
      </c>
    </row>
    <row r="46" spans="1:16" ht="15" customHeight="1" x14ac:dyDescent="0.3">
      <c r="A46" s="26" t="s">
        <v>243</v>
      </c>
      <c r="B46" s="13">
        <v>341.06</v>
      </c>
      <c r="C46" s="13">
        <v>317.8</v>
      </c>
      <c r="D46" s="13">
        <v>311.08999999999997</v>
      </c>
      <c r="E46" s="13">
        <v>270.38</v>
      </c>
      <c r="F46" s="13">
        <v>246.17</v>
      </c>
      <c r="G46" s="19"/>
      <c r="H46" s="13">
        <v>196.21</v>
      </c>
      <c r="I46" s="13">
        <v>187.09</v>
      </c>
      <c r="J46" s="13">
        <v>184.42</v>
      </c>
      <c r="K46" s="13">
        <v>200.69</v>
      </c>
      <c r="L46" s="13">
        <v>131.30000000000001</v>
      </c>
      <c r="M46" s="13">
        <v>305.2</v>
      </c>
      <c r="N46" s="19"/>
      <c r="O46" s="13">
        <v>297.77</v>
      </c>
      <c r="P46" s="13">
        <v>292.83</v>
      </c>
    </row>
    <row r="47" spans="1:16" ht="15" customHeight="1" x14ac:dyDescent="0.3">
      <c r="A47" s="27" t="s">
        <v>244</v>
      </c>
      <c r="B47" s="15">
        <v>65.209999999999994</v>
      </c>
      <c r="C47" s="15">
        <v>65.400000000000006</v>
      </c>
      <c r="D47" s="15">
        <v>65.56</v>
      </c>
      <c r="E47" s="15">
        <v>65.56</v>
      </c>
      <c r="F47" s="15">
        <v>62.66</v>
      </c>
      <c r="G47" s="19"/>
      <c r="H47" s="15">
        <v>47.05</v>
      </c>
      <c r="I47" s="15">
        <v>47.41</v>
      </c>
      <c r="J47" s="15">
        <v>47.41</v>
      </c>
      <c r="K47" s="15">
        <v>59.18</v>
      </c>
      <c r="L47" s="15">
        <v>30.05</v>
      </c>
      <c r="M47" s="15">
        <v>73.98</v>
      </c>
      <c r="N47" s="19"/>
      <c r="O47" s="15">
        <v>74.48</v>
      </c>
      <c r="P47" s="15">
        <v>72.73</v>
      </c>
    </row>
    <row r="48" spans="1:16" ht="15" customHeight="1" x14ac:dyDescent="0.3">
      <c r="A48" s="27" t="s">
        <v>245</v>
      </c>
      <c r="B48" s="13">
        <v>275.83999999999997</v>
      </c>
      <c r="C48" s="13">
        <v>252.4</v>
      </c>
      <c r="D48" s="13">
        <v>245.53</v>
      </c>
      <c r="E48" s="13">
        <v>204.82</v>
      </c>
      <c r="F48" s="13">
        <v>183.52</v>
      </c>
      <c r="G48" s="19"/>
      <c r="H48" s="13">
        <v>149.16</v>
      </c>
      <c r="I48" s="13">
        <v>139.69</v>
      </c>
      <c r="J48" s="13">
        <v>137.01</v>
      </c>
      <c r="K48" s="13">
        <v>141.51</v>
      </c>
      <c r="L48" s="13">
        <v>101.25</v>
      </c>
      <c r="M48" s="13">
        <v>231.22</v>
      </c>
      <c r="N48" s="19"/>
      <c r="O48" s="13">
        <v>223.29</v>
      </c>
      <c r="P48" s="13">
        <v>220.1</v>
      </c>
    </row>
    <row r="49" spans="1:16" ht="15" customHeight="1" x14ac:dyDescent="0.3">
      <c r="A49" s="26" t="s">
        <v>246</v>
      </c>
      <c r="B49" s="13">
        <v>680.07</v>
      </c>
      <c r="C49" s="13">
        <v>653.38</v>
      </c>
      <c r="D49" s="13">
        <v>609.70000000000005</v>
      </c>
      <c r="E49" s="13">
        <v>604.95000000000005</v>
      </c>
      <c r="F49" s="13">
        <v>473.03</v>
      </c>
      <c r="G49" s="19"/>
      <c r="H49" s="13">
        <v>364.34</v>
      </c>
      <c r="I49" s="13">
        <v>323.52999999999997</v>
      </c>
      <c r="J49" s="13">
        <v>314.12</v>
      </c>
      <c r="K49" s="13">
        <v>321.52999999999997</v>
      </c>
      <c r="L49" s="13">
        <v>253.53</v>
      </c>
      <c r="M49" s="13">
        <v>508.56</v>
      </c>
      <c r="N49" s="19"/>
      <c r="O49" s="13">
        <v>521.23</v>
      </c>
      <c r="P49" s="13">
        <v>550.54</v>
      </c>
    </row>
    <row r="50" spans="1:16" ht="15" customHeight="1" x14ac:dyDescent="0.3">
      <c r="A50" s="27" t="s">
        <v>247</v>
      </c>
      <c r="B50" s="15">
        <v>33.39</v>
      </c>
      <c r="C50" s="15">
        <v>30.4</v>
      </c>
      <c r="D50" s="15">
        <v>29.7</v>
      </c>
      <c r="E50" s="15">
        <v>29.03</v>
      </c>
      <c r="F50" s="15">
        <v>25.89</v>
      </c>
      <c r="G50" s="19"/>
      <c r="H50" s="15">
        <v>17.489999999999998</v>
      </c>
      <c r="I50" s="15">
        <v>14.66</v>
      </c>
      <c r="J50" s="15">
        <v>14.58</v>
      </c>
      <c r="K50" s="15">
        <v>17.66</v>
      </c>
      <c r="L50" s="15">
        <v>17.82</v>
      </c>
      <c r="M50" s="15">
        <v>36.159999999999997</v>
      </c>
      <c r="N50" s="19"/>
      <c r="O50" s="15">
        <v>34.56</v>
      </c>
      <c r="P50" s="15">
        <v>40.369999999999997</v>
      </c>
    </row>
    <row r="51" spans="1:16" ht="15" customHeight="1" x14ac:dyDescent="0.3">
      <c r="A51" s="26" t="s">
        <v>248</v>
      </c>
      <c r="B51" s="15">
        <v>90.14</v>
      </c>
      <c r="C51" s="15">
        <v>99.19</v>
      </c>
      <c r="D51" s="13">
        <v>117.87</v>
      </c>
      <c r="E51" s="13">
        <v>124.82</v>
      </c>
      <c r="F51" s="15">
        <v>51.47</v>
      </c>
      <c r="G51" s="19"/>
      <c r="H51" s="19"/>
      <c r="I51" s="19"/>
      <c r="J51" s="19"/>
      <c r="K51" s="19"/>
      <c r="L51" s="19"/>
      <c r="M51" s="19"/>
      <c r="N51" s="19"/>
      <c r="O51" s="19"/>
      <c r="P51" s="19"/>
    </row>
    <row r="52" spans="1:16" ht="15" customHeight="1" x14ac:dyDescent="0.3">
      <c r="A52" s="27" t="s">
        <v>249</v>
      </c>
      <c r="B52" s="15">
        <v>90.14</v>
      </c>
      <c r="C52" s="15">
        <v>99.19</v>
      </c>
      <c r="D52" s="13">
        <v>117.87</v>
      </c>
      <c r="E52" s="13">
        <v>124.82</v>
      </c>
      <c r="F52" s="15">
        <v>51.47</v>
      </c>
      <c r="G52" s="19"/>
      <c r="H52" s="19"/>
      <c r="I52" s="19"/>
      <c r="J52" s="19"/>
      <c r="K52" s="19"/>
      <c r="L52" s="19"/>
      <c r="M52" s="19"/>
      <c r="N52" s="19"/>
      <c r="O52" s="19"/>
      <c r="P52" s="19"/>
    </row>
    <row r="53" spans="1:16" ht="15" customHeight="1" x14ac:dyDescent="0.3">
      <c r="A53" s="14" t="s">
        <v>250</v>
      </c>
      <c r="B53" s="13">
        <v>567.23</v>
      </c>
      <c r="C53" s="13">
        <v>515.91999999999996</v>
      </c>
      <c r="D53" s="13">
        <v>462.19</v>
      </c>
      <c r="E53" s="13">
        <v>418.38</v>
      </c>
      <c r="F53" s="13">
        <v>375.28</v>
      </c>
      <c r="G53" s="19"/>
      <c r="H53" s="13">
        <v>322.63</v>
      </c>
      <c r="I53" s="13">
        <v>300.63</v>
      </c>
      <c r="J53" s="13">
        <v>273.10000000000002</v>
      </c>
      <c r="K53" s="13">
        <v>251.17</v>
      </c>
      <c r="L53" s="13">
        <v>226.99</v>
      </c>
      <c r="M53" s="13">
        <v>459.96</v>
      </c>
      <c r="N53" s="19"/>
      <c r="O53" s="13">
        <v>431.03</v>
      </c>
      <c r="P53" s="13">
        <v>453.73</v>
      </c>
    </row>
    <row r="54" spans="1:16" ht="15" customHeight="1" x14ac:dyDescent="0.3">
      <c r="A54" s="18" t="s">
        <v>251</v>
      </c>
      <c r="B54" s="13">
        <v>567.23</v>
      </c>
      <c r="C54" s="13">
        <v>515.91999999999996</v>
      </c>
      <c r="D54" s="13">
        <v>462.19</v>
      </c>
      <c r="E54" s="13">
        <v>418.38</v>
      </c>
      <c r="F54" s="13">
        <v>375.28</v>
      </c>
      <c r="G54" s="19"/>
      <c r="H54" s="13">
        <v>322.63</v>
      </c>
      <c r="I54" s="13">
        <v>300.63</v>
      </c>
      <c r="J54" s="13">
        <v>273.10000000000002</v>
      </c>
      <c r="K54" s="13">
        <v>251.17</v>
      </c>
      <c r="L54" s="13">
        <v>226.99</v>
      </c>
      <c r="M54" s="13">
        <v>459.96</v>
      </c>
      <c r="N54" s="19"/>
      <c r="O54" s="13">
        <v>431.03</v>
      </c>
      <c r="P54" s="13">
        <v>453.73</v>
      </c>
    </row>
    <row r="55" spans="1:16" ht="15" customHeight="1" x14ac:dyDescent="0.3">
      <c r="A55" s="12" t="s">
        <v>252</v>
      </c>
      <c r="B55" s="19"/>
      <c r="C55" s="19"/>
      <c r="D55" s="19"/>
      <c r="E55" s="19"/>
      <c r="F55" s="19"/>
      <c r="G55" s="19"/>
      <c r="H55" s="19"/>
      <c r="I55" s="19">
        <v>0</v>
      </c>
      <c r="J55" s="13">
        <v>131.82</v>
      </c>
      <c r="K55" s="19">
        <v>0</v>
      </c>
      <c r="L55" s="13">
        <v>174.98</v>
      </c>
      <c r="M55" s="19"/>
      <c r="N55" s="19"/>
      <c r="O55" s="19"/>
      <c r="P55" s="19"/>
    </row>
    <row r="56" spans="1:16" ht="15" customHeight="1" x14ac:dyDescent="0.3">
      <c r="A56" s="12" t="s">
        <v>253</v>
      </c>
      <c r="B56" s="13">
        <v>411.58</v>
      </c>
      <c r="C56" s="13">
        <v>460.56</v>
      </c>
      <c r="D56" s="13">
        <v>445.62</v>
      </c>
      <c r="E56" s="13">
        <v>528.94000000000005</v>
      </c>
      <c r="F56" s="13">
        <v>176.75</v>
      </c>
      <c r="G56" s="13">
        <v>125.64</v>
      </c>
      <c r="H56" s="13">
        <v>100.99</v>
      </c>
      <c r="I56" s="13">
        <v>124.4</v>
      </c>
      <c r="J56" s="15">
        <v>30.2</v>
      </c>
      <c r="K56" s="15">
        <v>28.35</v>
      </c>
      <c r="L56" s="15">
        <v>79.48</v>
      </c>
      <c r="M56" s="15">
        <v>27.88</v>
      </c>
      <c r="N56" s="15">
        <v>59.27</v>
      </c>
      <c r="O56" s="15">
        <v>53.48</v>
      </c>
      <c r="P56" s="15">
        <v>41.55</v>
      </c>
    </row>
    <row r="57" spans="1:16" ht="15" customHeight="1" x14ac:dyDescent="0.3">
      <c r="A57" s="14" t="s">
        <v>254</v>
      </c>
      <c r="B57" s="19"/>
      <c r="C57" s="19"/>
      <c r="D57" s="19"/>
      <c r="E57" s="19"/>
      <c r="F57" s="19">
        <v>0</v>
      </c>
      <c r="G57" s="15">
        <v>12.31</v>
      </c>
      <c r="H57" s="15">
        <v>9.14</v>
      </c>
      <c r="I57" s="15">
        <v>20.079999999999998</v>
      </c>
      <c r="J57" s="15">
        <v>16.61</v>
      </c>
      <c r="K57" s="15">
        <v>13.64</v>
      </c>
      <c r="L57" s="15">
        <v>65.37</v>
      </c>
      <c r="M57" s="15">
        <v>8.73</v>
      </c>
      <c r="N57" s="15">
        <v>36.1</v>
      </c>
      <c r="O57" s="15">
        <v>32.71</v>
      </c>
      <c r="P57" s="15">
        <v>30.84</v>
      </c>
    </row>
    <row r="58" spans="1:16" ht="15" customHeight="1" x14ac:dyDescent="0.3">
      <c r="A58" s="14" t="s">
        <v>255</v>
      </c>
      <c r="B58" s="13">
        <v>411.58</v>
      </c>
      <c r="C58" s="13">
        <v>460.56</v>
      </c>
      <c r="D58" s="13">
        <v>445.62</v>
      </c>
      <c r="E58" s="13">
        <v>528.94000000000005</v>
      </c>
      <c r="F58" s="13">
        <v>176.75</v>
      </c>
      <c r="G58" s="13">
        <v>113.34</v>
      </c>
      <c r="H58" s="15">
        <v>91.85</v>
      </c>
      <c r="I58" s="13">
        <v>104.32</v>
      </c>
      <c r="J58" s="15">
        <v>13.59</v>
      </c>
      <c r="K58" s="15">
        <v>14.71</v>
      </c>
      <c r="L58" s="15">
        <v>14.12</v>
      </c>
      <c r="M58" s="15">
        <v>19.149999999999999</v>
      </c>
      <c r="N58" s="15">
        <v>23.18</v>
      </c>
      <c r="O58" s="15">
        <v>20.78</v>
      </c>
      <c r="P58" s="15">
        <v>10.71</v>
      </c>
    </row>
    <row r="59" spans="1:16" ht="15" customHeight="1" x14ac:dyDescent="0.3">
      <c r="A59" s="12" t="s">
        <v>256</v>
      </c>
      <c r="B59" s="13">
        <v>3604.06</v>
      </c>
      <c r="C59" s="13">
        <v>3695.75</v>
      </c>
      <c r="D59" s="13">
        <v>4741.83</v>
      </c>
      <c r="E59" s="13">
        <v>4823.7</v>
      </c>
      <c r="F59" s="13">
        <v>2178.66</v>
      </c>
      <c r="G59" s="13">
        <v>2285.35</v>
      </c>
      <c r="H59" s="13">
        <v>1312.97</v>
      </c>
      <c r="I59" s="13">
        <v>1181.92</v>
      </c>
      <c r="J59" s="13">
        <v>988.33</v>
      </c>
      <c r="K59" s="13">
        <v>1064.97</v>
      </c>
      <c r="L59" s="13">
        <v>293.52</v>
      </c>
      <c r="M59" s="13">
        <v>165.83</v>
      </c>
      <c r="N59" s="13">
        <v>172.75</v>
      </c>
      <c r="O59" s="13">
        <v>180.45</v>
      </c>
      <c r="P59" s="15">
        <v>23.11</v>
      </c>
    </row>
    <row r="60" spans="1:16" ht="15" customHeight="1" x14ac:dyDescent="0.3">
      <c r="A60" s="14" t="s">
        <v>257</v>
      </c>
      <c r="B60" s="13">
        <v>1968.57</v>
      </c>
      <c r="C60" s="13">
        <v>1968.57</v>
      </c>
      <c r="D60" s="13">
        <v>2920.57</v>
      </c>
      <c r="E60" s="13">
        <v>2913.38</v>
      </c>
      <c r="F60" s="13">
        <v>1203.21</v>
      </c>
      <c r="G60" s="13">
        <v>1224.68</v>
      </c>
      <c r="H60" s="13">
        <v>834.01</v>
      </c>
      <c r="I60" s="13">
        <v>755.95</v>
      </c>
      <c r="J60" s="13">
        <v>575.78</v>
      </c>
      <c r="K60" s="13">
        <v>585.79</v>
      </c>
      <c r="L60" s="13">
        <v>106.26</v>
      </c>
      <c r="M60" s="15">
        <v>27.97</v>
      </c>
      <c r="N60" s="15">
        <v>27.97</v>
      </c>
      <c r="O60" s="15">
        <v>28.59</v>
      </c>
      <c r="P60" s="19">
        <v>0</v>
      </c>
    </row>
    <row r="61" spans="1:16" ht="15" customHeight="1" x14ac:dyDescent="0.3">
      <c r="A61" s="14" t="s">
        <v>258</v>
      </c>
      <c r="B61" s="13">
        <v>1635.49</v>
      </c>
      <c r="C61" s="13">
        <v>1727.18</v>
      </c>
      <c r="D61" s="13">
        <v>1821.25</v>
      </c>
      <c r="E61" s="13">
        <v>1910.31</v>
      </c>
      <c r="F61" s="13">
        <v>975.44</v>
      </c>
      <c r="G61" s="13">
        <v>1060.68</v>
      </c>
      <c r="H61" s="13">
        <v>478.95</v>
      </c>
      <c r="I61" s="13">
        <v>425.98</v>
      </c>
      <c r="J61" s="13">
        <v>412.55</v>
      </c>
      <c r="K61" s="13">
        <v>479.19</v>
      </c>
      <c r="L61" s="13">
        <v>187.26</v>
      </c>
      <c r="M61" s="13">
        <v>137.86000000000001</v>
      </c>
      <c r="N61" s="13">
        <v>144.78</v>
      </c>
      <c r="O61" s="13">
        <v>151.86000000000001</v>
      </c>
      <c r="P61" s="15">
        <v>23.11</v>
      </c>
    </row>
    <row r="62" spans="1:16" ht="15" customHeight="1" x14ac:dyDescent="0.3">
      <c r="A62" s="18" t="s">
        <v>259</v>
      </c>
      <c r="B62" s="13">
        <v>779.42</v>
      </c>
      <c r="C62" s="13">
        <v>779.42</v>
      </c>
      <c r="D62" s="13">
        <v>779.82</v>
      </c>
      <c r="E62" s="13">
        <v>781.02</v>
      </c>
      <c r="F62" s="13">
        <v>356.82</v>
      </c>
      <c r="G62" s="13">
        <v>385.92</v>
      </c>
      <c r="H62" s="13">
        <v>157.22</v>
      </c>
      <c r="I62" s="13">
        <v>157.22</v>
      </c>
      <c r="J62" s="13">
        <v>157.22</v>
      </c>
      <c r="K62" s="13">
        <v>203.82</v>
      </c>
      <c r="L62" s="15">
        <v>92.22</v>
      </c>
      <c r="M62" s="15">
        <v>57.82</v>
      </c>
      <c r="N62" s="15">
        <v>57.82</v>
      </c>
      <c r="O62" s="15">
        <v>57.82</v>
      </c>
      <c r="P62" s="15">
        <v>13.2</v>
      </c>
    </row>
    <row r="63" spans="1:16" ht="15" customHeight="1" x14ac:dyDescent="0.3">
      <c r="A63" s="18" t="s">
        <v>260</v>
      </c>
      <c r="B63" s="13">
        <v>856.07</v>
      </c>
      <c r="C63" s="13">
        <v>947.76</v>
      </c>
      <c r="D63" s="13">
        <v>1041.44</v>
      </c>
      <c r="E63" s="13">
        <v>1129.3</v>
      </c>
      <c r="F63" s="13">
        <v>618.63</v>
      </c>
      <c r="G63" s="13">
        <v>674.76</v>
      </c>
      <c r="H63" s="13">
        <v>321.74</v>
      </c>
      <c r="I63" s="13">
        <v>268.76</v>
      </c>
      <c r="J63" s="13">
        <v>255.34</v>
      </c>
      <c r="K63" s="13">
        <v>275.37</v>
      </c>
      <c r="L63" s="15">
        <v>95.04</v>
      </c>
      <c r="M63" s="15">
        <v>80.05</v>
      </c>
      <c r="N63" s="15">
        <v>86.97</v>
      </c>
      <c r="O63" s="15">
        <v>94.04</v>
      </c>
      <c r="P63" s="15">
        <v>9.91</v>
      </c>
    </row>
    <row r="64" spans="1:16" ht="15" customHeight="1" x14ac:dyDescent="0.3">
      <c r="A64" s="14" t="s">
        <v>261</v>
      </c>
      <c r="B64" s="13">
        <v>5357.14</v>
      </c>
      <c r="C64" s="13">
        <v>5355.6</v>
      </c>
      <c r="D64" s="13">
        <v>5355.64</v>
      </c>
      <c r="E64" s="13">
        <v>5340.22</v>
      </c>
      <c r="F64" s="13">
        <v>2621.53</v>
      </c>
      <c r="G64" s="13">
        <v>2672.01</v>
      </c>
      <c r="H64" s="13">
        <v>1695.88</v>
      </c>
      <c r="I64" s="13">
        <v>1535.49</v>
      </c>
      <c r="J64" s="13">
        <v>1291.78</v>
      </c>
      <c r="K64" s="13">
        <v>1346.48</v>
      </c>
      <c r="L64" s="13">
        <v>531.85</v>
      </c>
      <c r="M64" s="13">
        <v>1184.8</v>
      </c>
      <c r="N64" s="13">
        <v>1185.01</v>
      </c>
      <c r="O64" s="19"/>
      <c r="P64" s="19"/>
    </row>
    <row r="65" spans="1:16" ht="15" customHeight="1" x14ac:dyDescent="0.3">
      <c r="A65" s="18" t="s">
        <v>262</v>
      </c>
      <c r="B65" s="13">
        <v>3158.49</v>
      </c>
      <c r="C65" s="13">
        <v>3158.49</v>
      </c>
      <c r="D65" s="13">
        <v>3158.49</v>
      </c>
      <c r="E65" s="13">
        <v>3151.3</v>
      </c>
      <c r="F65" s="13">
        <v>1441.13</v>
      </c>
      <c r="G65" s="13">
        <v>1462.59</v>
      </c>
      <c r="H65" s="13">
        <v>1101.33</v>
      </c>
      <c r="I65" s="13">
        <v>1023.27</v>
      </c>
      <c r="J65" s="13">
        <v>813.69</v>
      </c>
      <c r="K65" s="13">
        <v>823.7</v>
      </c>
      <c r="L65" s="13">
        <v>321.68</v>
      </c>
      <c r="M65" s="13">
        <v>1022.28</v>
      </c>
      <c r="N65" s="13">
        <v>1022.28</v>
      </c>
      <c r="O65" s="19"/>
      <c r="P65" s="19"/>
    </row>
    <row r="66" spans="1:16" ht="15" customHeight="1" x14ac:dyDescent="0.3">
      <c r="A66" s="18" t="s">
        <v>263</v>
      </c>
      <c r="B66" s="13">
        <v>2198.65</v>
      </c>
      <c r="C66" s="13">
        <v>2197.11</v>
      </c>
      <c r="D66" s="13">
        <v>2197.16</v>
      </c>
      <c r="E66" s="13">
        <v>2188.92</v>
      </c>
      <c r="F66" s="13">
        <v>1180.4000000000001</v>
      </c>
      <c r="G66" s="13">
        <v>1209.42</v>
      </c>
      <c r="H66" s="13">
        <v>594.54999999999995</v>
      </c>
      <c r="I66" s="13">
        <v>512.23</v>
      </c>
      <c r="J66" s="13">
        <v>478.08</v>
      </c>
      <c r="K66" s="13">
        <v>522.78</v>
      </c>
      <c r="L66" s="13">
        <v>210.18</v>
      </c>
      <c r="M66" s="13">
        <v>162.52000000000001</v>
      </c>
      <c r="N66" s="13">
        <v>162.72999999999999</v>
      </c>
      <c r="O66" s="13">
        <v>163.59</v>
      </c>
      <c r="P66" s="15">
        <v>38.25</v>
      </c>
    </row>
    <row r="67" spans="1:16" ht="15" customHeight="1" x14ac:dyDescent="0.3">
      <c r="A67" s="26" t="s">
        <v>264</v>
      </c>
      <c r="B67" s="13">
        <v>779.42</v>
      </c>
      <c r="C67" s="13">
        <v>779.42</v>
      </c>
      <c r="D67" s="13">
        <v>779.82</v>
      </c>
      <c r="E67" s="13">
        <v>781.02</v>
      </c>
      <c r="F67" s="13">
        <v>356.82</v>
      </c>
      <c r="G67" s="13">
        <v>385.92</v>
      </c>
      <c r="H67" s="13">
        <v>157.22</v>
      </c>
      <c r="I67" s="13">
        <v>157.22</v>
      </c>
      <c r="J67" s="13">
        <v>157.22</v>
      </c>
      <c r="K67" s="13">
        <v>203.82</v>
      </c>
      <c r="L67" s="15">
        <v>92.22</v>
      </c>
      <c r="M67" s="15">
        <v>57.82</v>
      </c>
      <c r="N67" s="15">
        <v>57.82</v>
      </c>
      <c r="O67" s="15">
        <v>57.82</v>
      </c>
      <c r="P67" s="15">
        <v>13.2</v>
      </c>
    </row>
    <row r="68" spans="1:16" ht="15" customHeight="1" x14ac:dyDescent="0.3">
      <c r="A68" s="26" t="s">
        <v>265</v>
      </c>
      <c r="B68" s="13">
        <v>1419.24</v>
      </c>
      <c r="C68" s="13">
        <v>1417.69</v>
      </c>
      <c r="D68" s="13">
        <v>1417.34</v>
      </c>
      <c r="E68" s="13">
        <v>1407.91</v>
      </c>
      <c r="F68" s="13">
        <v>823.59</v>
      </c>
      <c r="G68" s="13">
        <v>823.5</v>
      </c>
      <c r="H68" s="13">
        <v>437.34</v>
      </c>
      <c r="I68" s="13">
        <v>355.01</v>
      </c>
      <c r="J68" s="13">
        <v>320.87</v>
      </c>
      <c r="K68" s="13">
        <v>318.97000000000003</v>
      </c>
      <c r="L68" s="13">
        <v>117.96</v>
      </c>
      <c r="M68" s="13">
        <v>104.71</v>
      </c>
      <c r="N68" s="13">
        <v>104.91</v>
      </c>
      <c r="O68" s="13">
        <v>105.77</v>
      </c>
      <c r="P68" s="15">
        <v>25.05</v>
      </c>
    </row>
    <row r="69" spans="1:16" ht="15" customHeight="1" x14ac:dyDescent="0.3">
      <c r="A69" s="14" t="s">
        <v>266</v>
      </c>
      <c r="B69" s="13">
        <v>1753.08</v>
      </c>
      <c r="C69" s="13">
        <v>1659.84</v>
      </c>
      <c r="D69" s="13">
        <v>613.82000000000005</v>
      </c>
      <c r="E69" s="13">
        <v>516.53</v>
      </c>
      <c r="F69" s="13">
        <v>442.87</v>
      </c>
      <c r="G69" s="13">
        <v>386.65</v>
      </c>
      <c r="H69" s="13">
        <v>382.92</v>
      </c>
      <c r="I69" s="13">
        <v>353.57</v>
      </c>
      <c r="J69" s="13">
        <v>303.45</v>
      </c>
      <c r="K69" s="13">
        <v>281.51</v>
      </c>
      <c r="L69" s="13">
        <v>238.33</v>
      </c>
      <c r="M69" s="13">
        <v>1018.98</v>
      </c>
      <c r="N69" s="13">
        <v>1012.26</v>
      </c>
      <c r="O69" s="19"/>
      <c r="P69" s="19"/>
    </row>
    <row r="70" spans="1:16" ht="15" customHeight="1" x14ac:dyDescent="0.3">
      <c r="A70" s="18" t="s">
        <v>267</v>
      </c>
      <c r="B70" s="13">
        <v>1189.9100000000001</v>
      </c>
      <c r="C70" s="13">
        <v>1189.9100000000001</v>
      </c>
      <c r="D70" s="13">
        <v>237.91</v>
      </c>
      <c r="E70" s="13">
        <v>237.91</v>
      </c>
      <c r="F70" s="13">
        <v>237.91</v>
      </c>
      <c r="G70" s="13">
        <v>237.91</v>
      </c>
      <c r="H70" s="13">
        <v>267.32</v>
      </c>
      <c r="I70" s="13">
        <v>267.32</v>
      </c>
      <c r="J70" s="13">
        <v>237.91</v>
      </c>
      <c r="K70" s="13">
        <v>237.91</v>
      </c>
      <c r="L70" s="13">
        <v>215.41</v>
      </c>
      <c r="M70" s="13">
        <v>994.31</v>
      </c>
      <c r="N70" s="13">
        <v>994.31</v>
      </c>
      <c r="O70" s="19"/>
      <c r="P70" s="19"/>
    </row>
    <row r="71" spans="1:16" ht="15" customHeight="1" x14ac:dyDescent="0.3">
      <c r="A71" s="18" t="s">
        <v>268</v>
      </c>
      <c r="B71" s="13">
        <v>563.16999999999996</v>
      </c>
      <c r="C71" s="13">
        <v>469.93</v>
      </c>
      <c r="D71" s="13">
        <v>375.9</v>
      </c>
      <c r="E71" s="13">
        <v>278.61</v>
      </c>
      <c r="F71" s="13">
        <v>204.96</v>
      </c>
      <c r="G71" s="13">
        <v>148.74</v>
      </c>
      <c r="H71" s="13">
        <v>115.6</v>
      </c>
      <c r="I71" s="15">
        <v>86.25</v>
      </c>
      <c r="J71" s="15">
        <v>65.53</v>
      </c>
      <c r="K71" s="15">
        <v>43.6</v>
      </c>
      <c r="L71" s="15">
        <v>22.92</v>
      </c>
      <c r="M71" s="15">
        <v>24.66</v>
      </c>
      <c r="N71" s="15">
        <v>17.95</v>
      </c>
      <c r="O71" s="15">
        <v>11.73</v>
      </c>
      <c r="P71" s="15">
        <v>15.14</v>
      </c>
    </row>
    <row r="72" spans="1:16" ht="15" customHeight="1" x14ac:dyDescent="0.3">
      <c r="A72" s="26" t="s">
        <v>269</v>
      </c>
      <c r="B72" s="13">
        <v>563.16999999999996</v>
      </c>
      <c r="C72" s="13">
        <v>469.93</v>
      </c>
      <c r="D72" s="13">
        <v>375.9</v>
      </c>
      <c r="E72" s="13">
        <v>278.61</v>
      </c>
      <c r="F72" s="13">
        <v>204.96</v>
      </c>
      <c r="G72" s="13">
        <v>148.74</v>
      </c>
      <c r="H72" s="13">
        <v>115.6</v>
      </c>
      <c r="I72" s="15">
        <v>86.25</v>
      </c>
      <c r="J72" s="15">
        <v>65.53</v>
      </c>
      <c r="K72" s="15">
        <v>43.6</v>
      </c>
      <c r="L72" s="15">
        <v>22.92</v>
      </c>
      <c r="M72" s="15">
        <v>24.66</v>
      </c>
      <c r="N72" s="15">
        <v>17.95</v>
      </c>
      <c r="O72" s="15">
        <v>11.73</v>
      </c>
      <c r="P72" s="15">
        <v>15.14</v>
      </c>
    </row>
    <row r="73" spans="1:16" ht="15" customHeight="1" x14ac:dyDescent="0.3">
      <c r="A73" s="16" t="s">
        <v>270</v>
      </c>
      <c r="B73" s="17">
        <v>4568.5600000000004</v>
      </c>
      <c r="C73" s="17">
        <v>4734.03</v>
      </c>
      <c r="D73" s="17">
        <v>5787.06</v>
      </c>
      <c r="E73" s="17">
        <v>5956.03</v>
      </c>
      <c r="F73" s="17">
        <v>2765.2</v>
      </c>
      <c r="G73" s="17">
        <v>2917.94</v>
      </c>
      <c r="H73" s="17">
        <v>1659.04</v>
      </c>
      <c r="I73" s="17">
        <v>1524.01</v>
      </c>
      <c r="J73" s="17">
        <v>1390.01</v>
      </c>
      <c r="K73" s="17">
        <v>1378.23</v>
      </c>
      <c r="L73" s="17">
        <v>715.28</v>
      </c>
      <c r="M73" s="17">
        <v>564.08000000000004</v>
      </c>
      <c r="N73" s="17">
        <v>628.07000000000005</v>
      </c>
      <c r="O73" s="17">
        <v>645.12</v>
      </c>
      <c r="P73" s="17">
        <v>464.96</v>
      </c>
    </row>
    <row r="74" spans="1:16" ht="15" customHeight="1" x14ac:dyDescent="0.3">
      <c r="A74" s="10" t="s">
        <v>271</v>
      </c>
      <c r="B74" s="11"/>
      <c r="C74" s="11"/>
      <c r="D74" s="11"/>
      <c r="E74" s="11"/>
      <c r="F74" s="11"/>
      <c r="G74" s="11"/>
      <c r="H74" s="11"/>
      <c r="I74" s="11"/>
      <c r="J74" s="11"/>
      <c r="K74" s="11"/>
      <c r="L74" s="11"/>
      <c r="M74" s="11"/>
      <c r="N74" s="11"/>
      <c r="O74" s="11"/>
      <c r="P74" s="11"/>
    </row>
    <row r="75" spans="1:16" ht="15" customHeight="1" x14ac:dyDescent="0.3">
      <c r="A75" s="16" t="s">
        <v>271</v>
      </c>
      <c r="B75" s="17">
        <v>5198.58</v>
      </c>
      <c r="C75" s="17">
        <v>5410.12</v>
      </c>
      <c r="D75" s="17">
        <v>6431.01</v>
      </c>
      <c r="E75" s="17">
        <v>6658.31</v>
      </c>
      <c r="F75" s="17">
        <v>4859.3900000000003</v>
      </c>
      <c r="G75" s="17">
        <v>3561.86</v>
      </c>
      <c r="H75" s="17">
        <v>2130.06</v>
      </c>
      <c r="I75" s="17">
        <v>2129.5500000000002</v>
      </c>
      <c r="J75" s="17">
        <v>1735.91</v>
      </c>
      <c r="K75" s="17">
        <v>1680.86</v>
      </c>
      <c r="L75" s="17">
        <v>1031.0999999999999</v>
      </c>
      <c r="M75" s="17">
        <v>966.13</v>
      </c>
      <c r="N75" s="17">
        <v>1030.77</v>
      </c>
      <c r="O75" s="17">
        <v>970.53</v>
      </c>
      <c r="P75" s="17">
        <v>827.54</v>
      </c>
    </row>
    <row r="76" spans="1:16" ht="15" customHeight="1" x14ac:dyDescent="0.3">
      <c r="A76" s="10" t="s">
        <v>272</v>
      </c>
      <c r="B76" s="11"/>
      <c r="C76" s="11"/>
      <c r="D76" s="11"/>
      <c r="E76" s="11"/>
      <c r="F76" s="11"/>
      <c r="G76" s="11"/>
      <c r="H76" s="11"/>
      <c r="I76" s="11"/>
      <c r="J76" s="11"/>
      <c r="K76" s="11"/>
      <c r="L76" s="11"/>
      <c r="M76" s="11"/>
      <c r="N76" s="11"/>
      <c r="O76" s="11"/>
      <c r="P76" s="11"/>
    </row>
    <row r="77" spans="1:16" s="34" customFormat="1" ht="15" customHeight="1" x14ac:dyDescent="0.3">
      <c r="A77" s="37" t="s">
        <v>273</v>
      </c>
      <c r="B77" s="32">
        <v>217.94</v>
      </c>
      <c r="C77" s="32">
        <v>181.19</v>
      </c>
      <c r="D77" s="32">
        <v>180.19</v>
      </c>
      <c r="E77" s="32">
        <v>203.14</v>
      </c>
      <c r="F77" s="32">
        <v>208.86</v>
      </c>
      <c r="G77" s="32">
        <v>113.39</v>
      </c>
      <c r="H77" s="32">
        <v>117.96</v>
      </c>
      <c r="I77" s="32">
        <v>109.98</v>
      </c>
      <c r="J77" s="33">
        <v>65.459999999999994</v>
      </c>
      <c r="K77" s="33">
        <v>90.67</v>
      </c>
      <c r="L77" s="33">
        <v>66.78</v>
      </c>
      <c r="M77" s="33">
        <v>72.44</v>
      </c>
      <c r="N77" s="33">
        <v>88.99</v>
      </c>
      <c r="O77" s="33">
        <v>74.510000000000005</v>
      </c>
      <c r="P77" s="33">
        <v>96.6</v>
      </c>
    </row>
    <row r="78" spans="1:16" ht="15" customHeight="1" x14ac:dyDescent="0.3">
      <c r="A78" s="14" t="s">
        <v>274</v>
      </c>
      <c r="B78" s="13">
        <v>100.67</v>
      </c>
      <c r="C78" s="15">
        <v>76.38</v>
      </c>
      <c r="D78" s="15">
        <v>82.71</v>
      </c>
      <c r="E78" s="15">
        <v>83.93</v>
      </c>
      <c r="F78" s="15">
        <v>68.14</v>
      </c>
      <c r="G78" s="15">
        <v>28.44</v>
      </c>
      <c r="H78" s="15">
        <v>26.92</v>
      </c>
      <c r="I78" s="15">
        <v>23.65</v>
      </c>
      <c r="J78" s="15">
        <v>15.98</v>
      </c>
      <c r="K78" s="15">
        <v>31.61</v>
      </c>
      <c r="L78" s="15">
        <v>13.99</v>
      </c>
      <c r="M78" s="15">
        <v>16.53</v>
      </c>
      <c r="N78" s="15">
        <v>23.33</v>
      </c>
      <c r="O78" s="15">
        <v>17.7</v>
      </c>
      <c r="P78" s="15">
        <v>34.090000000000003</v>
      </c>
    </row>
    <row r="79" spans="1:16" ht="15" customHeight="1" x14ac:dyDescent="0.3">
      <c r="A79" s="14" t="s">
        <v>275</v>
      </c>
      <c r="B79" s="13">
        <v>117.27</v>
      </c>
      <c r="C79" s="13">
        <v>104.8</v>
      </c>
      <c r="D79" s="15">
        <v>97.48</v>
      </c>
      <c r="E79" s="13">
        <v>119.21</v>
      </c>
      <c r="F79" s="13">
        <v>140.72</v>
      </c>
      <c r="G79" s="15">
        <v>84.95</v>
      </c>
      <c r="H79" s="15">
        <v>91.04</v>
      </c>
      <c r="I79" s="15">
        <v>86.34</v>
      </c>
      <c r="J79" s="15">
        <v>49.48</v>
      </c>
      <c r="K79" s="15">
        <v>59.06</v>
      </c>
      <c r="L79" s="15">
        <v>52.79</v>
      </c>
      <c r="M79" s="15">
        <v>55.92</v>
      </c>
      <c r="N79" s="15">
        <v>65.66</v>
      </c>
      <c r="O79" s="15">
        <v>56.81</v>
      </c>
      <c r="P79" s="15">
        <v>62.51</v>
      </c>
    </row>
    <row r="80" spans="1:16" ht="15" customHeight="1" x14ac:dyDescent="0.3">
      <c r="A80" s="12" t="s">
        <v>276</v>
      </c>
      <c r="B80" s="15">
        <v>15.61</v>
      </c>
      <c r="C80" s="15">
        <v>15.61</v>
      </c>
      <c r="D80" s="15">
        <v>19.04</v>
      </c>
      <c r="E80" s="15">
        <v>18.61</v>
      </c>
      <c r="F80" s="15">
        <v>10.61</v>
      </c>
      <c r="G80" s="15">
        <v>10.61</v>
      </c>
      <c r="H80" s="15">
        <v>3</v>
      </c>
      <c r="I80" s="15">
        <v>5.66</v>
      </c>
      <c r="J80" s="15">
        <v>6.57</v>
      </c>
      <c r="K80" s="15">
        <v>6.66</v>
      </c>
      <c r="L80" s="15">
        <v>2</v>
      </c>
      <c r="M80" s="15">
        <v>2</v>
      </c>
      <c r="N80" s="15">
        <v>15.9</v>
      </c>
      <c r="O80" s="15">
        <v>15.9</v>
      </c>
      <c r="P80" s="19">
        <v>0</v>
      </c>
    </row>
    <row r="81" spans="1:16" ht="15" customHeight="1" x14ac:dyDescent="0.3">
      <c r="A81" s="14" t="s">
        <v>277</v>
      </c>
      <c r="B81" s="15">
        <v>15.61</v>
      </c>
      <c r="C81" s="15">
        <v>15.61</v>
      </c>
      <c r="D81" s="15">
        <v>19.04</v>
      </c>
      <c r="E81" s="15">
        <v>18.61</v>
      </c>
      <c r="F81" s="15">
        <v>10.61</v>
      </c>
      <c r="G81" s="15">
        <v>10.61</v>
      </c>
      <c r="H81" s="15">
        <v>3</v>
      </c>
      <c r="I81" s="15">
        <v>5.66</v>
      </c>
      <c r="J81" s="15">
        <v>6.57</v>
      </c>
      <c r="K81" s="15">
        <v>6.66</v>
      </c>
      <c r="L81" s="15">
        <v>2</v>
      </c>
      <c r="M81" s="15">
        <v>2</v>
      </c>
      <c r="N81" s="15">
        <v>15.9</v>
      </c>
      <c r="O81" s="15">
        <v>15.9</v>
      </c>
      <c r="P81" s="19">
        <v>0</v>
      </c>
    </row>
    <row r="82" spans="1:16" ht="15" customHeight="1" x14ac:dyDescent="0.3">
      <c r="A82" s="18" t="s">
        <v>278</v>
      </c>
      <c r="B82" s="15">
        <v>15.61</v>
      </c>
      <c r="C82" s="15">
        <v>15.61</v>
      </c>
      <c r="D82" s="15">
        <v>18.61</v>
      </c>
      <c r="E82" s="15">
        <v>18.61</v>
      </c>
      <c r="F82" s="15">
        <v>10.61</v>
      </c>
      <c r="G82" s="15">
        <v>10.61</v>
      </c>
      <c r="H82" s="15">
        <v>3</v>
      </c>
      <c r="I82" s="15">
        <v>5.66</v>
      </c>
      <c r="J82" s="15">
        <v>6.57</v>
      </c>
      <c r="K82" s="15">
        <v>6.66</v>
      </c>
      <c r="L82" s="15">
        <v>2</v>
      </c>
      <c r="M82" s="15">
        <v>2</v>
      </c>
      <c r="N82" s="15">
        <v>15.9</v>
      </c>
      <c r="O82" s="15">
        <v>15.9</v>
      </c>
      <c r="P82" s="19">
        <v>0</v>
      </c>
    </row>
    <row r="83" spans="1:16" ht="15" customHeight="1" x14ac:dyDescent="0.3">
      <c r="A83" s="18" t="s">
        <v>279</v>
      </c>
      <c r="B83" s="19"/>
      <c r="C83" s="19">
        <v>0</v>
      </c>
      <c r="D83" s="15">
        <v>0.43</v>
      </c>
      <c r="E83" s="19"/>
      <c r="F83" s="19"/>
      <c r="G83" s="19"/>
      <c r="H83" s="19"/>
      <c r="I83" s="19"/>
      <c r="J83" s="19"/>
      <c r="K83" s="19"/>
      <c r="L83" s="19"/>
      <c r="M83" s="19"/>
      <c r="N83" s="19"/>
      <c r="O83" s="19"/>
      <c r="P83" s="19"/>
    </row>
    <row r="84" spans="1:16" ht="15" customHeight="1" x14ac:dyDescent="0.3">
      <c r="A84" s="12" t="s">
        <v>280</v>
      </c>
      <c r="B84" s="19"/>
      <c r="C84" s="19"/>
      <c r="D84" s="19"/>
      <c r="E84" s="19"/>
      <c r="F84" s="19"/>
      <c r="G84" s="15">
        <v>22.73</v>
      </c>
      <c r="H84" s="19">
        <v>0</v>
      </c>
      <c r="I84" s="15">
        <v>19.54</v>
      </c>
      <c r="J84" s="15">
        <v>2.88</v>
      </c>
      <c r="K84" s="19">
        <v>0</v>
      </c>
      <c r="L84" s="15">
        <v>47.64</v>
      </c>
      <c r="M84" s="19"/>
      <c r="N84" s="19"/>
      <c r="O84" s="19"/>
      <c r="P84" s="19"/>
    </row>
    <row r="85" spans="1:16" ht="15" customHeight="1" x14ac:dyDescent="0.3">
      <c r="A85" s="12" t="s">
        <v>281</v>
      </c>
      <c r="B85" s="15">
        <v>33.18</v>
      </c>
      <c r="C85" s="19"/>
      <c r="D85" s="19"/>
      <c r="E85" s="19"/>
      <c r="F85" s="19"/>
      <c r="G85" s="19"/>
      <c r="H85" s="19"/>
      <c r="I85" s="19"/>
      <c r="J85" s="19"/>
      <c r="K85" s="19"/>
      <c r="L85" s="19"/>
      <c r="M85" s="19"/>
      <c r="N85" s="19"/>
      <c r="O85" s="19">
        <v>0</v>
      </c>
      <c r="P85" s="15">
        <v>7.31</v>
      </c>
    </row>
    <row r="86" spans="1:16" ht="15" customHeight="1" x14ac:dyDescent="0.3">
      <c r="A86" s="12" t="s">
        <v>282</v>
      </c>
      <c r="B86" s="15">
        <v>18.09</v>
      </c>
      <c r="C86" s="15">
        <v>19.47</v>
      </c>
      <c r="D86" s="15">
        <v>19.600000000000001</v>
      </c>
      <c r="E86" s="15">
        <v>20.07</v>
      </c>
      <c r="F86" s="15">
        <v>9.6199999999999992</v>
      </c>
      <c r="G86" s="15">
        <v>15.05</v>
      </c>
      <c r="H86" s="19"/>
      <c r="I86" s="19"/>
      <c r="J86" s="19"/>
      <c r="K86" s="19"/>
      <c r="L86" s="19"/>
      <c r="M86" s="19"/>
      <c r="N86" s="19"/>
      <c r="O86" s="19"/>
      <c r="P86" s="19"/>
    </row>
    <row r="87" spans="1:16" ht="15" customHeight="1" x14ac:dyDescent="0.3">
      <c r="A87" s="12" t="s">
        <v>283</v>
      </c>
      <c r="B87" s="13">
        <v>197.57</v>
      </c>
      <c r="C87" s="13">
        <v>261.56</v>
      </c>
      <c r="D87" s="13">
        <v>266.18</v>
      </c>
      <c r="E87" s="13">
        <v>270.06</v>
      </c>
      <c r="F87" s="13">
        <v>129.36000000000001</v>
      </c>
      <c r="G87" s="13">
        <v>150.25</v>
      </c>
      <c r="H87" s="15">
        <v>77.099999999999994</v>
      </c>
      <c r="I87" s="15">
        <v>75.61</v>
      </c>
      <c r="J87" s="15">
        <v>29.22</v>
      </c>
      <c r="K87" s="15">
        <v>22.5</v>
      </c>
      <c r="L87" s="15">
        <v>18.12</v>
      </c>
      <c r="M87" s="15">
        <v>38.68</v>
      </c>
      <c r="N87" s="15">
        <v>41.14</v>
      </c>
      <c r="O87" s="15">
        <v>34.64</v>
      </c>
      <c r="P87" s="15">
        <v>34.57</v>
      </c>
    </row>
    <row r="88" spans="1:16" ht="15" customHeight="1" x14ac:dyDescent="0.3">
      <c r="A88" s="14" t="s">
        <v>284</v>
      </c>
      <c r="B88" s="15">
        <v>18.16</v>
      </c>
      <c r="C88" s="15">
        <v>12.18</v>
      </c>
      <c r="D88" s="15">
        <v>18.18</v>
      </c>
      <c r="E88" s="15">
        <v>20</v>
      </c>
      <c r="F88" s="15">
        <v>14.1</v>
      </c>
      <c r="G88" s="15">
        <v>10.7</v>
      </c>
      <c r="H88" s="15">
        <v>11.46</v>
      </c>
      <c r="I88" s="19"/>
      <c r="J88" s="19"/>
      <c r="K88" s="19"/>
      <c r="L88" s="19"/>
      <c r="M88" s="19"/>
      <c r="N88" s="19"/>
      <c r="O88" s="19"/>
      <c r="P88" s="19"/>
    </row>
    <row r="89" spans="1:16" s="34" customFormat="1" ht="15" customHeight="1" x14ac:dyDescent="0.3">
      <c r="A89" s="31" t="s">
        <v>285</v>
      </c>
      <c r="B89" s="38"/>
      <c r="C89" s="38"/>
      <c r="D89" s="38"/>
      <c r="E89" s="38"/>
      <c r="F89" s="38"/>
      <c r="G89" s="38"/>
      <c r="H89" s="38"/>
      <c r="I89" s="33">
        <v>7.35</v>
      </c>
      <c r="J89" s="33">
        <v>6.41</v>
      </c>
      <c r="K89" s="33">
        <v>8.51</v>
      </c>
      <c r="L89" s="33">
        <v>8.81</v>
      </c>
      <c r="M89" s="33">
        <v>28.63</v>
      </c>
      <c r="N89" s="33">
        <v>26.24</v>
      </c>
      <c r="O89" s="33">
        <v>26.37</v>
      </c>
      <c r="P89" s="33">
        <v>26.07</v>
      </c>
    </row>
    <row r="90" spans="1:16" s="34" customFormat="1" ht="15" customHeight="1" x14ac:dyDescent="0.3">
      <c r="A90" s="31" t="s">
        <v>286</v>
      </c>
      <c r="B90" s="32">
        <v>179.42</v>
      </c>
      <c r="C90" s="32">
        <v>249.37</v>
      </c>
      <c r="D90" s="32">
        <v>247.99</v>
      </c>
      <c r="E90" s="32">
        <v>250.06</v>
      </c>
      <c r="F90" s="32">
        <v>115.26</v>
      </c>
      <c r="G90" s="32">
        <v>139.54</v>
      </c>
      <c r="H90" s="33">
        <v>65.64</v>
      </c>
      <c r="I90" s="33">
        <v>68.260000000000005</v>
      </c>
      <c r="J90" s="33">
        <v>22.81</v>
      </c>
      <c r="K90" s="33">
        <v>13.99</v>
      </c>
      <c r="L90" s="33">
        <v>9.31</v>
      </c>
      <c r="M90" s="33">
        <v>10.039999999999999</v>
      </c>
      <c r="N90" s="33">
        <v>14.9</v>
      </c>
      <c r="O90" s="33">
        <v>8.27</v>
      </c>
      <c r="P90" s="33">
        <v>8.5</v>
      </c>
    </row>
    <row r="91" spans="1:16" ht="15" customHeight="1" x14ac:dyDescent="0.3">
      <c r="A91" s="16" t="s">
        <v>287</v>
      </c>
      <c r="B91" s="17">
        <v>482.39</v>
      </c>
      <c r="C91" s="17">
        <v>477.82</v>
      </c>
      <c r="D91" s="17">
        <v>485.01</v>
      </c>
      <c r="E91" s="17">
        <v>511.88</v>
      </c>
      <c r="F91" s="17">
        <v>358.46</v>
      </c>
      <c r="G91" s="17">
        <v>312.02999999999997</v>
      </c>
      <c r="H91" s="17">
        <v>198.06</v>
      </c>
      <c r="I91" s="17">
        <v>210.79</v>
      </c>
      <c r="J91" s="17">
        <v>104.13</v>
      </c>
      <c r="K91" s="17">
        <v>119.82</v>
      </c>
      <c r="L91" s="17">
        <v>134.54</v>
      </c>
      <c r="M91" s="17">
        <v>113.12</v>
      </c>
      <c r="N91" s="17">
        <v>146.03</v>
      </c>
      <c r="O91" s="17">
        <v>125.05</v>
      </c>
      <c r="P91" s="17">
        <v>138.47999999999999</v>
      </c>
    </row>
    <row r="92" spans="1:16" ht="15" customHeight="1" x14ac:dyDescent="0.3">
      <c r="A92" s="10" t="s">
        <v>288</v>
      </c>
      <c r="B92" s="11"/>
      <c r="C92" s="11"/>
      <c r="D92" s="11"/>
      <c r="E92" s="11"/>
      <c r="F92" s="11"/>
      <c r="G92" s="11"/>
      <c r="H92" s="11"/>
      <c r="I92" s="11"/>
      <c r="J92" s="11"/>
      <c r="K92" s="11"/>
      <c r="L92" s="11"/>
      <c r="M92" s="11"/>
      <c r="N92" s="11"/>
      <c r="O92" s="11"/>
      <c r="P92" s="11"/>
    </row>
    <row r="93" spans="1:16" ht="15" customHeight="1" x14ac:dyDescent="0.3">
      <c r="A93" s="12" t="s">
        <v>289</v>
      </c>
      <c r="B93" s="13">
        <v>2591.58</v>
      </c>
      <c r="C93" s="13">
        <v>2926.97</v>
      </c>
      <c r="D93" s="13">
        <v>2881.86</v>
      </c>
      <c r="E93" s="13">
        <v>3129.39</v>
      </c>
      <c r="F93" s="13">
        <v>2923.36</v>
      </c>
      <c r="G93" s="13">
        <v>1904.42</v>
      </c>
      <c r="H93" s="13">
        <v>685.76</v>
      </c>
      <c r="I93" s="13">
        <v>687.62</v>
      </c>
      <c r="J93" s="13">
        <v>386.61</v>
      </c>
      <c r="K93" s="13">
        <v>392.49</v>
      </c>
      <c r="L93" s="13">
        <v>194.37</v>
      </c>
      <c r="M93" s="13">
        <v>198</v>
      </c>
      <c r="N93" s="13">
        <v>180.2</v>
      </c>
      <c r="O93" s="13">
        <v>196.1</v>
      </c>
      <c r="P93" s="19">
        <v>0</v>
      </c>
    </row>
    <row r="94" spans="1:16" ht="15" customHeight="1" x14ac:dyDescent="0.3">
      <c r="A94" s="14" t="s">
        <v>290</v>
      </c>
      <c r="B94" s="13">
        <v>2560.56</v>
      </c>
      <c r="C94" s="13">
        <v>2896.82</v>
      </c>
      <c r="D94" s="13">
        <v>2853.79</v>
      </c>
      <c r="E94" s="13">
        <v>3129.39</v>
      </c>
      <c r="F94" s="13">
        <v>2923.36</v>
      </c>
      <c r="G94" s="13">
        <v>1904.42</v>
      </c>
      <c r="H94" s="13">
        <v>685.76</v>
      </c>
      <c r="I94" s="13">
        <v>687.62</v>
      </c>
      <c r="J94" s="13">
        <v>386.61</v>
      </c>
      <c r="K94" s="13">
        <v>392.49</v>
      </c>
      <c r="L94" s="13">
        <v>194.37</v>
      </c>
      <c r="M94" s="13">
        <v>198</v>
      </c>
      <c r="N94" s="13">
        <v>180.2</v>
      </c>
      <c r="O94" s="13">
        <v>196.1</v>
      </c>
      <c r="P94" s="19">
        <v>0</v>
      </c>
    </row>
    <row r="95" spans="1:16" ht="15" customHeight="1" x14ac:dyDescent="0.3">
      <c r="A95" s="18" t="s">
        <v>291</v>
      </c>
      <c r="B95" s="13">
        <v>2560.56</v>
      </c>
      <c r="C95" s="13">
        <v>2896.82</v>
      </c>
      <c r="D95" s="13">
        <v>2853.79</v>
      </c>
      <c r="E95" s="13">
        <v>3129.39</v>
      </c>
      <c r="F95" s="13">
        <v>2923.36</v>
      </c>
      <c r="G95" s="13">
        <v>1904.42</v>
      </c>
      <c r="H95" s="13">
        <v>685.76</v>
      </c>
      <c r="I95" s="13">
        <v>687.62</v>
      </c>
      <c r="J95" s="13">
        <v>386.61</v>
      </c>
      <c r="K95" s="13">
        <v>392.49</v>
      </c>
      <c r="L95" s="13">
        <v>194.37</v>
      </c>
      <c r="M95" s="13">
        <v>198</v>
      </c>
      <c r="N95" s="13">
        <v>180.2</v>
      </c>
      <c r="O95" s="13">
        <v>196.1</v>
      </c>
      <c r="P95" s="19">
        <v>0</v>
      </c>
    </row>
    <row r="96" spans="1:16" ht="15" customHeight="1" x14ac:dyDescent="0.3">
      <c r="A96" s="14" t="s">
        <v>292</v>
      </c>
      <c r="B96" s="15">
        <v>31.02</v>
      </c>
      <c r="C96" s="15">
        <v>30.15</v>
      </c>
      <c r="D96" s="15">
        <v>28.06</v>
      </c>
      <c r="E96" s="19"/>
      <c r="F96" s="19"/>
      <c r="G96" s="19"/>
      <c r="H96" s="19"/>
      <c r="I96" s="19"/>
      <c r="J96" s="19"/>
      <c r="K96" s="19"/>
      <c r="L96" s="19"/>
      <c r="M96" s="19"/>
      <c r="N96" s="19"/>
      <c r="O96" s="19"/>
      <c r="P96" s="19"/>
    </row>
    <row r="97" spans="1:16" ht="15" customHeight="1" x14ac:dyDescent="0.3">
      <c r="A97" s="12" t="s">
        <v>293</v>
      </c>
      <c r="B97" s="19"/>
      <c r="C97" s="19"/>
      <c r="D97" s="19"/>
      <c r="E97" s="19"/>
      <c r="F97" s="19"/>
      <c r="G97" s="19"/>
      <c r="H97" s="19"/>
      <c r="I97" s="19">
        <v>0</v>
      </c>
      <c r="J97" s="15">
        <v>25.3</v>
      </c>
      <c r="K97" s="19">
        <v>0</v>
      </c>
      <c r="L97" s="15">
        <v>13.09</v>
      </c>
      <c r="M97" s="19"/>
      <c r="N97" s="19"/>
      <c r="O97" s="19"/>
      <c r="P97" s="19"/>
    </row>
    <row r="98" spans="1:16" ht="15" customHeight="1" x14ac:dyDescent="0.3">
      <c r="A98" s="12" t="s">
        <v>294</v>
      </c>
      <c r="B98" s="13">
        <v>293.63</v>
      </c>
      <c r="C98" s="13">
        <v>307.39999999999998</v>
      </c>
      <c r="D98" s="13">
        <v>370.46</v>
      </c>
      <c r="E98" s="13">
        <v>356.78</v>
      </c>
      <c r="F98" s="15">
        <v>85.84</v>
      </c>
      <c r="G98" s="15">
        <v>17.88</v>
      </c>
      <c r="H98" s="15">
        <v>25.53</v>
      </c>
      <c r="I98" s="19"/>
      <c r="J98" s="19"/>
      <c r="K98" s="19"/>
      <c r="L98" s="19"/>
      <c r="M98" s="19"/>
      <c r="N98" s="19"/>
      <c r="O98" s="19"/>
      <c r="P98" s="19"/>
    </row>
    <row r="99" spans="1:16" ht="15" customHeight="1" x14ac:dyDescent="0.3">
      <c r="A99" s="14" t="s">
        <v>295</v>
      </c>
      <c r="B99" s="13">
        <v>293.63</v>
      </c>
      <c r="C99" s="13">
        <v>307.39999999999998</v>
      </c>
      <c r="D99" s="13">
        <v>370.46</v>
      </c>
      <c r="E99" s="13">
        <v>356.78</v>
      </c>
      <c r="F99" s="15">
        <v>85.84</v>
      </c>
      <c r="G99" s="15">
        <v>17.88</v>
      </c>
      <c r="H99" s="15">
        <v>25.53</v>
      </c>
      <c r="I99" s="19"/>
      <c r="J99" s="19"/>
      <c r="K99" s="19"/>
      <c r="L99" s="19"/>
      <c r="M99" s="19"/>
      <c r="N99" s="19"/>
      <c r="O99" s="19"/>
      <c r="P99" s="19"/>
    </row>
    <row r="100" spans="1:16" ht="15" customHeight="1" x14ac:dyDescent="0.3">
      <c r="A100" s="12" t="s">
        <v>296</v>
      </c>
      <c r="B100" s="15">
        <v>79.400000000000006</v>
      </c>
      <c r="C100" s="15">
        <v>87.71</v>
      </c>
      <c r="D100" s="13">
        <v>106.87</v>
      </c>
      <c r="E100" s="13">
        <v>113.89</v>
      </c>
      <c r="F100" s="15">
        <v>42.1</v>
      </c>
      <c r="G100" s="13">
        <v>113.65</v>
      </c>
      <c r="H100" s="19"/>
      <c r="I100" s="19"/>
      <c r="J100" s="19"/>
      <c r="K100" s="19"/>
      <c r="L100" s="19"/>
      <c r="M100" s="19"/>
      <c r="N100" s="19"/>
      <c r="O100" s="19"/>
      <c r="P100" s="19"/>
    </row>
    <row r="101" spans="1:16" ht="15" customHeight="1" x14ac:dyDescent="0.3">
      <c r="A101" s="12" t="s">
        <v>297</v>
      </c>
      <c r="B101" s="13">
        <v>433.55</v>
      </c>
      <c r="C101" s="13">
        <v>454.04</v>
      </c>
      <c r="D101" s="13">
        <v>456</v>
      </c>
      <c r="E101" s="13">
        <v>575.94000000000005</v>
      </c>
      <c r="F101" s="13">
        <v>286.37</v>
      </c>
      <c r="G101" s="13">
        <v>315.95</v>
      </c>
      <c r="H101" s="13">
        <v>294.54000000000002</v>
      </c>
      <c r="I101" s="13">
        <v>293.66000000000003</v>
      </c>
      <c r="J101" s="13">
        <v>273.93</v>
      </c>
      <c r="K101" s="13">
        <v>267.57</v>
      </c>
      <c r="L101" s="13">
        <v>169.17</v>
      </c>
      <c r="M101" s="13">
        <v>107.27</v>
      </c>
      <c r="N101" s="13">
        <v>164.63</v>
      </c>
      <c r="O101" s="13">
        <v>132.38</v>
      </c>
      <c r="P101" s="15">
        <v>97.53</v>
      </c>
    </row>
    <row r="102" spans="1:16" ht="15" customHeight="1" x14ac:dyDescent="0.3">
      <c r="A102" s="14" t="s">
        <v>298</v>
      </c>
      <c r="B102" s="13">
        <v>100.21</v>
      </c>
      <c r="C102" s="13">
        <v>102.9</v>
      </c>
      <c r="D102" s="13">
        <v>104.2</v>
      </c>
      <c r="E102" s="13">
        <v>132.01</v>
      </c>
      <c r="F102" s="13">
        <v>195.87</v>
      </c>
      <c r="G102" s="13">
        <v>211.62</v>
      </c>
      <c r="H102" s="13">
        <v>218.22</v>
      </c>
      <c r="I102" s="13">
        <v>225.93</v>
      </c>
      <c r="J102" s="13">
        <v>251.14</v>
      </c>
      <c r="K102" s="13">
        <v>238.77</v>
      </c>
      <c r="L102" s="13">
        <v>152.34</v>
      </c>
      <c r="M102" s="15">
        <v>81.78</v>
      </c>
      <c r="N102" s="13">
        <v>133.15</v>
      </c>
      <c r="O102" s="15">
        <v>94.09</v>
      </c>
      <c r="P102" s="15">
        <v>62.15</v>
      </c>
    </row>
    <row r="103" spans="1:16" ht="15" customHeight="1" x14ac:dyDescent="0.3">
      <c r="A103" s="18" t="s">
        <v>299</v>
      </c>
      <c r="B103" s="13">
        <v>100.21</v>
      </c>
      <c r="C103" s="13">
        <v>102.9</v>
      </c>
      <c r="D103" s="13">
        <v>104.2</v>
      </c>
      <c r="E103" s="13">
        <v>132.01</v>
      </c>
      <c r="F103" s="13">
        <v>195.87</v>
      </c>
      <c r="G103" s="13">
        <v>211.62</v>
      </c>
      <c r="H103" s="13">
        <v>218.22</v>
      </c>
      <c r="I103" s="13">
        <v>225.93</v>
      </c>
      <c r="J103" s="13">
        <v>251.14</v>
      </c>
      <c r="K103" s="13">
        <v>238.77</v>
      </c>
      <c r="L103" s="13">
        <v>152.34</v>
      </c>
      <c r="M103" s="15">
        <v>81.78</v>
      </c>
      <c r="N103" s="13">
        <v>133.15</v>
      </c>
      <c r="O103" s="15">
        <v>94.09</v>
      </c>
      <c r="P103" s="15">
        <v>62.15</v>
      </c>
    </row>
    <row r="104" spans="1:16" ht="15" customHeight="1" x14ac:dyDescent="0.3">
      <c r="A104" s="14" t="s">
        <v>300</v>
      </c>
      <c r="B104" s="15">
        <v>37.729999999999997</v>
      </c>
      <c r="C104" s="15">
        <v>41.86</v>
      </c>
      <c r="D104" s="15">
        <v>46.21</v>
      </c>
      <c r="E104" s="15">
        <v>47.98</v>
      </c>
      <c r="F104" s="15">
        <v>44.95</v>
      </c>
      <c r="G104" s="15">
        <v>36.770000000000003</v>
      </c>
      <c r="H104" s="15">
        <v>20.62</v>
      </c>
      <c r="I104" s="19"/>
      <c r="J104" s="19"/>
      <c r="K104" s="19"/>
      <c r="L104" s="19"/>
      <c r="M104" s="19"/>
      <c r="N104" s="19"/>
      <c r="O104" s="19"/>
      <c r="P104" s="19"/>
    </row>
    <row r="105" spans="1:16" ht="15" customHeight="1" x14ac:dyDescent="0.3">
      <c r="A105" s="14" t="s">
        <v>301</v>
      </c>
      <c r="B105" s="13">
        <v>295.61</v>
      </c>
      <c r="C105" s="13">
        <v>309.27</v>
      </c>
      <c r="D105" s="13">
        <v>305.60000000000002</v>
      </c>
      <c r="E105" s="13">
        <v>395.96</v>
      </c>
      <c r="F105" s="15">
        <v>45.56</v>
      </c>
      <c r="G105" s="15">
        <v>67.56</v>
      </c>
      <c r="H105" s="15">
        <v>55.7</v>
      </c>
      <c r="I105" s="15">
        <v>67.73</v>
      </c>
      <c r="J105" s="15">
        <v>22.79</v>
      </c>
      <c r="K105" s="15">
        <v>28.79</v>
      </c>
      <c r="L105" s="15">
        <v>16.829999999999998</v>
      </c>
      <c r="M105" s="15">
        <v>25.5</v>
      </c>
      <c r="N105" s="15">
        <v>31.47</v>
      </c>
      <c r="O105" s="15">
        <v>38.29</v>
      </c>
      <c r="P105" s="15">
        <v>35.380000000000003</v>
      </c>
    </row>
    <row r="106" spans="1:16" ht="15" customHeight="1" x14ac:dyDescent="0.3">
      <c r="A106" s="12" t="s">
        <v>302</v>
      </c>
      <c r="B106" s="13">
        <v>3398.17</v>
      </c>
      <c r="C106" s="13">
        <v>3776.12</v>
      </c>
      <c r="D106" s="13">
        <v>3815.18</v>
      </c>
      <c r="E106" s="13">
        <v>4176</v>
      </c>
      <c r="F106" s="13">
        <v>3337.67</v>
      </c>
      <c r="G106" s="13">
        <v>2351.89</v>
      </c>
      <c r="H106" s="13">
        <v>1005.84</v>
      </c>
      <c r="I106" s="13">
        <v>981.28</v>
      </c>
      <c r="J106" s="13">
        <v>685.84</v>
      </c>
      <c r="K106" s="13">
        <v>660.05</v>
      </c>
      <c r="L106" s="13">
        <v>376.63</v>
      </c>
      <c r="M106" s="13">
        <v>305.27</v>
      </c>
      <c r="N106" s="13">
        <v>344.83</v>
      </c>
      <c r="O106" s="13">
        <v>328.48</v>
      </c>
      <c r="P106" s="15">
        <v>97.53</v>
      </c>
    </row>
    <row r="107" spans="1:16" ht="15" customHeight="1" x14ac:dyDescent="0.3">
      <c r="A107" s="10" t="s">
        <v>303</v>
      </c>
      <c r="B107" s="11"/>
      <c r="C107" s="11"/>
      <c r="D107" s="11"/>
      <c r="E107" s="11"/>
      <c r="F107" s="11"/>
      <c r="G107" s="11"/>
      <c r="H107" s="11"/>
      <c r="I107" s="11"/>
      <c r="J107" s="11"/>
      <c r="K107" s="11"/>
      <c r="L107" s="11"/>
      <c r="M107" s="11"/>
      <c r="N107" s="11"/>
      <c r="O107" s="11"/>
      <c r="P107" s="11"/>
    </row>
    <row r="108" spans="1:16" ht="15" customHeight="1" x14ac:dyDescent="0.3">
      <c r="A108" s="16" t="s">
        <v>303</v>
      </c>
      <c r="B108" s="17">
        <v>3880.56</v>
      </c>
      <c r="C108" s="17">
        <v>4253.9399999999996</v>
      </c>
      <c r="D108" s="17">
        <v>4300.18</v>
      </c>
      <c r="E108" s="17">
        <v>4687.88</v>
      </c>
      <c r="F108" s="17">
        <v>3696.12</v>
      </c>
      <c r="G108" s="17">
        <v>2663.92</v>
      </c>
      <c r="H108" s="17">
        <v>1203.9000000000001</v>
      </c>
      <c r="I108" s="17">
        <v>1192.06</v>
      </c>
      <c r="J108" s="17">
        <v>789.97</v>
      </c>
      <c r="K108" s="17">
        <v>779.88</v>
      </c>
      <c r="L108" s="17">
        <v>511.17</v>
      </c>
      <c r="M108" s="17">
        <v>418.39</v>
      </c>
      <c r="N108" s="17">
        <v>490.86</v>
      </c>
      <c r="O108" s="17">
        <v>453.53</v>
      </c>
      <c r="P108" s="17">
        <v>236.01</v>
      </c>
    </row>
    <row r="109" spans="1:16" ht="15" customHeight="1" x14ac:dyDescent="0.3">
      <c r="A109" s="10" t="s">
        <v>304</v>
      </c>
      <c r="B109" s="11"/>
      <c r="C109" s="11"/>
      <c r="D109" s="11"/>
      <c r="E109" s="11"/>
      <c r="F109" s="11"/>
      <c r="G109" s="11"/>
      <c r="H109" s="11"/>
      <c r="I109" s="11"/>
      <c r="J109" s="11"/>
      <c r="K109" s="11"/>
      <c r="L109" s="11"/>
      <c r="M109" s="11"/>
      <c r="N109" s="11"/>
      <c r="O109" s="11"/>
      <c r="P109" s="11"/>
    </row>
    <row r="110" spans="1:16" ht="15" customHeight="1" x14ac:dyDescent="0.3">
      <c r="A110" s="12" t="s">
        <v>305</v>
      </c>
      <c r="B110" s="13">
        <v>1318.01</v>
      </c>
      <c r="C110" s="13">
        <v>1156.18</v>
      </c>
      <c r="D110" s="13">
        <v>2130.8200000000002</v>
      </c>
      <c r="E110" s="13">
        <v>1970.43</v>
      </c>
      <c r="F110" s="13">
        <v>1163.27</v>
      </c>
      <c r="G110" s="13">
        <v>897.94</v>
      </c>
      <c r="H110" s="13">
        <v>926.17</v>
      </c>
      <c r="I110" s="13">
        <v>936.85</v>
      </c>
      <c r="J110" s="13">
        <v>945.94</v>
      </c>
      <c r="K110" s="13">
        <v>900.98</v>
      </c>
      <c r="L110" s="13">
        <v>518.28</v>
      </c>
      <c r="M110" s="13">
        <v>545.77</v>
      </c>
      <c r="N110" s="13">
        <v>537.70000000000005</v>
      </c>
      <c r="O110" s="13">
        <v>514.52</v>
      </c>
      <c r="P110" s="13">
        <v>588.9</v>
      </c>
    </row>
    <row r="111" spans="1:16" ht="15" customHeight="1" x14ac:dyDescent="0.3">
      <c r="A111" s="14" t="s">
        <v>306</v>
      </c>
      <c r="B111" s="13">
        <v>416.85</v>
      </c>
      <c r="C111" s="13">
        <v>414.55</v>
      </c>
      <c r="D111" s="13">
        <v>412.24</v>
      </c>
      <c r="E111" s="13">
        <v>409.94</v>
      </c>
      <c r="F111" s="19">
        <v>0</v>
      </c>
      <c r="G111" s="19">
        <v>0</v>
      </c>
      <c r="H111" s="19">
        <v>0</v>
      </c>
      <c r="I111" s="19">
        <v>0</v>
      </c>
      <c r="J111" s="19">
        <v>0</v>
      </c>
      <c r="K111" s="19"/>
      <c r="L111" s="19"/>
      <c r="M111" s="19"/>
      <c r="N111" s="19"/>
      <c r="O111" s="19"/>
      <c r="P111" s="19"/>
    </row>
    <row r="112" spans="1:16" ht="15" customHeight="1" x14ac:dyDescent="0.3">
      <c r="A112" s="18" t="s">
        <v>307</v>
      </c>
      <c r="B112" s="13">
        <v>416.85</v>
      </c>
      <c r="C112" s="13">
        <v>414.55</v>
      </c>
      <c r="D112" s="13">
        <v>412.24</v>
      </c>
      <c r="E112" s="13">
        <v>409.94</v>
      </c>
      <c r="F112" s="19">
        <v>0</v>
      </c>
      <c r="G112" s="19">
        <v>0</v>
      </c>
      <c r="H112" s="19">
        <v>0</v>
      </c>
      <c r="I112" s="19">
        <v>0</v>
      </c>
      <c r="J112" s="19">
        <v>0</v>
      </c>
      <c r="K112" s="19"/>
      <c r="L112" s="19"/>
      <c r="M112" s="19"/>
      <c r="N112" s="19"/>
      <c r="O112" s="19"/>
      <c r="P112" s="19"/>
    </row>
    <row r="113" spans="1:16" ht="15" customHeight="1" x14ac:dyDescent="0.3">
      <c r="A113" s="14" t="s">
        <v>308</v>
      </c>
      <c r="B113" s="13">
        <v>901.16</v>
      </c>
      <c r="C113" s="13">
        <v>741.63</v>
      </c>
      <c r="D113" s="13">
        <v>1718.58</v>
      </c>
      <c r="E113" s="13">
        <v>1560.5</v>
      </c>
      <c r="F113" s="13">
        <v>1163.27</v>
      </c>
      <c r="G113" s="13">
        <v>897.94</v>
      </c>
      <c r="H113" s="13">
        <v>926.17</v>
      </c>
      <c r="I113" s="13">
        <v>936.85</v>
      </c>
      <c r="J113" s="13">
        <v>945.94</v>
      </c>
      <c r="K113" s="13">
        <v>900.98</v>
      </c>
      <c r="L113" s="13">
        <v>518.28</v>
      </c>
      <c r="M113" s="13">
        <v>545.77</v>
      </c>
      <c r="N113" s="13">
        <v>537.70000000000005</v>
      </c>
      <c r="O113" s="13">
        <v>514.52</v>
      </c>
      <c r="P113" s="13">
        <v>588.9</v>
      </c>
    </row>
    <row r="114" spans="1:16" ht="15" customHeight="1" x14ac:dyDescent="0.3">
      <c r="A114" s="18" t="s">
        <v>309</v>
      </c>
      <c r="B114" s="13">
        <v>1452.47</v>
      </c>
      <c r="C114" s="13">
        <v>1439.37</v>
      </c>
      <c r="D114" s="13">
        <v>1445.34</v>
      </c>
      <c r="E114" s="13">
        <v>1429.29</v>
      </c>
      <c r="F114" s="13">
        <v>1131.6099999999999</v>
      </c>
      <c r="G114" s="13">
        <v>1117.9100000000001</v>
      </c>
      <c r="H114" s="13">
        <v>1107.79</v>
      </c>
      <c r="I114" s="13">
        <v>1129.8399999999999</v>
      </c>
      <c r="J114" s="13">
        <v>1133.3599999999999</v>
      </c>
      <c r="K114" s="13">
        <v>1164.82</v>
      </c>
      <c r="L114" s="13">
        <v>526.03</v>
      </c>
      <c r="M114" s="13">
        <v>509.8</v>
      </c>
      <c r="N114" s="13">
        <v>518.24</v>
      </c>
      <c r="O114" s="13">
        <v>515.96</v>
      </c>
      <c r="P114" s="13">
        <v>558.80999999999995</v>
      </c>
    </row>
    <row r="115" spans="1:16" ht="15" customHeight="1" x14ac:dyDescent="0.3">
      <c r="A115" s="26" t="s">
        <v>310</v>
      </c>
      <c r="B115" s="15">
        <v>0.87</v>
      </c>
      <c r="C115" s="15">
        <v>0.85</v>
      </c>
      <c r="D115" s="15">
        <v>0.84</v>
      </c>
      <c r="E115" s="15">
        <v>0.83</v>
      </c>
      <c r="F115" s="15">
        <v>0.82</v>
      </c>
      <c r="G115" s="15">
        <v>0.81</v>
      </c>
      <c r="H115" s="15">
        <v>0.81</v>
      </c>
      <c r="I115" s="15">
        <v>0.82</v>
      </c>
      <c r="J115" s="15">
        <v>0.82</v>
      </c>
      <c r="K115" s="15">
        <v>0.84</v>
      </c>
      <c r="L115" s="15">
        <v>0.56999999999999995</v>
      </c>
      <c r="M115" s="15">
        <v>0.56000000000000005</v>
      </c>
      <c r="N115" s="15">
        <v>0.56000000000000005</v>
      </c>
      <c r="O115" s="15">
        <v>0.54</v>
      </c>
      <c r="P115" s="15">
        <v>0.57999999999999996</v>
      </c>
    </row>
    <row r="116" spans="1:16" ht="15" customHeight="1" x14ac:dyDescent="0.3">
      <c r="A116" s="26" t="s">
        <v>311</v>
      </c>
      <c r="B116" s="13">
        <v>1451.6</v>
      </c>
      <c r="C116" s="13">
        <v>1438.52</v>
      </c>
      <c r="D116" s="13">
        <v>1444.5</v>
      </c>
      <c r="E116" s="13">
        <v>1428.46</v>
      </c>
      <c r="F116" s="13">
        <v>1130.79</v>
      </c>
      <c r="G116" s="13">
        <v>1117.0999999999999</v>
      </c>
      <c r="H116" s="13">
        <v>1106.98</v>
      </c>
      <c r="I116" s="13">
        <v>1129.02</v>
      </c>
      <c r="J116" s="13">
        <v>1132.54</v>
      </c>
      <c r="K116" s="13">
        <v>1163.98</v>
      </c>
      <c r="L116" s="13">
        <v>525.46</v>
      </c>
      <c r="M116" s="13">
        <v>509.24</v>
      </c>
      <c r="N116" s="13">
        <v>517.69000000000005</v>
      </c>
      <c r="O116" s="13">
        <v>515.41999999999996</v>
      </c>
      <c r="P116" s="13">
        <v>558.23</v>
      </c>
    </row>
    <row r="117" spans="1:16" ht="15" customHeight="1" x14ac:dyDescent="0.3">
      <c r="A117" s="18" t="s">
        <v>312</v>
      </c>
      <c r="B117" s="22">
        <v>-551.30999999999995</v>
      </c>
      <c r="C117" s="22">
        <v>-697.73</v>
      </c>
      <c r="D117" s="13">
        <v>273.24</v>
      </c>
      <c r="E117" s="13">
        <v>131.21</v>
      </c>
      <c r="F117" s="15">
        <v>31.66</v>
      </c>
      <c r="G117" s="22">
        <v>-219.97</v>
      </c>
      <c r="H117" s="22">
        <v>-181.63</v>
      </c>
      <c r="I117" s="22">
        <v>-192.98</v>
      </c>
      <c r="J117" s="22">
        <v>-187.42</v>
      </c>
      <c r="K117" s="22">
        <v>-263.83999999999997</v>
      </c>
      <c r="L117" s="23">
        <v>-7.75</v>
      </c>
      <c r="M117" s="15">
        <v>35.97</v>
      </c>
      <c r="N117" s="15">
        <v>19.45</v>
      </c>
      <c r="O117" s="23">
        <v>-1.44</v>
      </c>
      <c r="P117" s="15">
        <v>30.09</v>
      </c>
    </row>
    <row r="118" spans="1:16" ht="15" customHeight="1" x14ac:dyDescent="0.3">
      <c r="A118" s="26" t="s">
        <v>313</v>
      </c>
      <c r="B118" s="22">
        <v>-476</v>
      </c>
      <c r="C118" s="22">
        <v>-622.22</v>
      </c>
      <c r="D118" s="13">
        <v>350.72</v>
      </c>
      <c r="E118" s="13">
        <v>205.12</v>
      </c>
      <c r="F118" s="13">
        <v>131.78</v>
      </c>
      <c r="G118" s="22">
        <v>-120.98</v>
      </c>
      <c r="H118" s="23">
        <v>-86.23</v>
      </c>
      <c r="I118" s="23">
        <v>-90.06</v>
      </c>
      <c r="J118" s="23">
        <v>-94.08</v>
      </c>
      <c r="K118" s="22">
        <v>-174.04</v>
      </c>
      <c r="L118" s="13">
        <v>118.69</v>
      </c>
      <c r="M118" s="13">
        <v>116.89</v>
      </c>
      <c r="N118" s="13">
        <v>136.29</v>
      </c>
      <c r="O118" s="15">
        <v>96.11</v>
      </c>
      <c r="P118" s="13">
        <v>111.64</v>
      </c>
    </row>
    <row r="119" spans="1:16" ht="15" customHeight="1" x14ac:dyDescent="0.3">
      <c r="A119" s="26" t="s">
        <v>314</v>
      </c>
      <c r="B119" s="23">
        <v>-75.31</v>
      </c>
      <c r="C119" s="23">
        <v>-75.510000000000005</v>
      </c>
      <c r="D119" s="23">
        <v>-77.47</v>
      </c>
      <c r="E119" s="23">
        <v>-73.91</v>
      </c>
      <c r="F119" s="22">
        <v>-100.12</v>
      </c>
      <c r="G119" s="23">
        <v>-98.99</v>
      </c>
      <c r="H119" s="23">
        <v>-95.4</v>
      </c>
      <c r="I119" s="22">
        <v>-102.92</v>
      </c>
      <c r="J119" s="23">
        <v>-93.35</v>
      </c>
      <c r="K119" s="23">
        <v>-89.8</v>
      </c>
      <c r="L119" s="22">
        <v>-126.44</v>
      </c>
      <c r="M119" s="23">
        <v>-80.92</v>
      </c>
      <c r="N119" s="22">
        <v>-116.84</v>
      </c>
      <c r="O119" s="23">
        <v>-97.55</v>
      </c>
      <c r="P119" s="23">
        <v>-81.55</v>
      </c>
    </row>
    <row r="120" spans="1:16" ht="15" customHeight="1" x14ac:dyDescent="0.3">
      <c r="A120" s="27" t="s">
        <v>315</v>
      </c>
      <c r="B120" s="19"/>
      <c r="C120" s="19"/>
      <c r="D120" s="19"/>
      <c r="E120" s="19"/>
      <c r="F120" s="19"/>
      <c r="G120" s="19"/>
      <c r="H120" s="19"/>
      <c r="I120" s="19">
        <v>0</v>
      </c>
      <c r="J120" s="19">
        <v>0</v>
      </c>
      <c r="K120" s="23">
        <v>-0.24</v>
      </c>
      <c r="L120" s="23">
        <v>-0.48</v>
      </c>
      <c r="M120" s="23">
        <v>-0.72</v>
      </c>
      <c r="N120" s="23">
        <v>-1.01</v>
      </c>
      <c r="O120" s="19"/>
      <c r="P120" s="19"/>
    </row>
    <row r="121" spans="1:16" ht="15" customHeight="1" x14ac:dyDescent="0.3">
      <c r="A121" s="27" t="s">
        <v>316</v>
      </c>
      <c r="B121" s="23">
        <v>-74.959999999999994</v>
      </c>
      <c r="C121" s="23">
        <v>-75.25</v>
      </c>
      <c r="D121" s="23">
        <v>-77.33</v>
      </c>
      <c r="E121" s="23">
        <v>-73.709999999999994</v>
      </c>
      <c r="F121" s="23">
        <v>-99.79</v>
      </c>
      <c r="G121" s="23">
        <v>-98.73</v>
      </c>
      <c r="H121" s="23">
        <v>-95.36</v>
      </c>
      <c r="I121" s="22">
        <v>-102.95</v>
      </c>
      <c r="J121" s="23">
        <v>-93.68</v>
      </c>
      <c r="K121" s="23">
        <v>-89.74</v>
      </c>
      <c r="L121" s="22">
        <v>-125.88</v>
      </c>
      <c r="M121" s="23">
        <v>-80.38</v>
      </c>
      <c r="N121" s="22">
        <v>-116.19</v>
      </c>
      <c r="O121" s="23">
        <v>-97.55</v>
      </c>
      <c r="P121" s="23">
        <v>-81.55</v>
      </c>
    </row>
    <row r="122" spans="1:16" ht="15" customHeight="1" x14ac:dyDescent="0.3">
      <c r="A122" s="27" t="s">
        <v>317</v>
      </c>
      <c r="B122" s="23">
        <v>-0.35</v>
      </c>
      <c r="C122" s="23">
        <v>-0.26</v>
      </c>
      <c r="D122" s="23">
        <v>-0.14000000000000001</v>
      </c>
      <c r="E122" s="23">
        <v>-0.2</v>
      </c>
      <c r="F122" s="23">
        <v>-0.33</v>
      </c>
      <c r="G122" s="23">
        <v>-0.25</v>
      </c>
      <c r="H122" s="23">
        <v>-0.03</v>
      </c>
      <c r="I122" s="15">
        <v>0.03</v>
      </c>
      <c r="J122" s="15">
        <v>0.33</v>
      </c>
      <c r="K122" s="15">
        <v>0.18</v>
      </c>
      <c r="L122" s="23">
        <v>-0.09</v>
      </c>
      <c r="M122" s="15">
        <v>0.17</v>
      </c>
      <c r="N122" s="15">
        <v>0.36</v>
      </c>
      <c r="O122" s="19"/>
      <c r="P122" s="19"/>
    </row>
    <row r="123" spans="1:16" ht="15" customHeight="1" x14ac:dyDescent="0.3">
      <c r="A123" s="14" t="s">
        <v>318</v>
      </c>
      <c r="B123" s="13">
        <v>901.16</v>
      </c>
      <c r="C123" s="13">
        <v>741.63</v>
      </c>
      <c r="D123" s="13">
        <v>1718.58</v>
      </c>
      <c r="E123" s="13">
        <v>1560.5</v>
      </c>
      <c r="F123" s="13">
        <v>1163.27</v>
      </c>
      <c r="G123" s="13">
        <v>897.94</v>
      </c>
      <c r="H123" s="13">
        <v>926.17</v>
      </c>
      <c r="I123" s="13">
        <v>936.85</v>
      </c>
      <c r="J123" s="13">
        <v>945.94</v>
      </c>
      <c r="K123" s="13">
        <v>900.98</v>
      </c>
      <c r="L123" s="13">
        <v>518.28</v>
      </c>
      <c r="M123" s="13">
        <v>545.77</v>
      </c>
      <c r="N123" s="13">
        <v>537.70000000000005</v>
      </c>
      <c r="O123" s="13">
        <v>514.52</v>
      </c>
      <c r="P123" s="13">
        <v>588.9</v>
      </c>
    </row>
    <row r="124" spans="1:16" ht="15" customHeight="1" x14ac:dyDescent="0.3">
      <c r="A124" s="12" t="s">
        <v>319</v>
      </c>
      <c r="B124" s="19"/>
      <c r="C124" s="19"/>
      <c r="D124" s="19"/>
      <c r="E124" s="19"/>
      <c r="F124" s="19"/>
      <c r="G124" s="19"/>
      <c r="H124" s="19">
        <v>0</v>
      </c>
      <c r="I124" s="15">
        <v>0.63</v>
      </c>
      <c r="J124" s="19">
        <v>0</v>
      </c>
      <c r="K124" s="19">
        <v>0</v>
      </c>
      <c r="L124" s="15">
        <v>1.66</v>
      </c>
      <c r="M124" s="15">
        <v>1.96</v>
      </c>
      <c r="N124" s="15">
        <v>2.21</v>
      </c>
      <c r="O124" s="15">
        <v>2.48</v>
      </c>
      <c r="P124" s="15">
        <v>2.63</v>
      </c>
    </row>
    <row r="125" spans="1:16" ht="15" customHeight="1" x14ac:dyDescent="0.3">
      <c r="A125" s="10" t="s">
        <v>320</v>
      </c>
      <c r="B125" s="11"/>
      <c r="C125" s="11"/>
      <c r="D125" s="11"/>
      <c r="E125" s="11"/>
      <c r="F125" s="11"/>
      <c r="G125" s="11"/>
      <c r="H125" s="11"/>
      <c r="I125" s="11"/>
      <c r="J125" s="11"/>
      <c r="K125" s="11"/>
      <c r="L125" s="11"/>
      <c r="M125" s="11"/>
      <c r="N125" s="11"/>
      <c r="O125" s="11"/>
      <c r="P125" s="11"/>
    </row>
    <row r="126" spans="1:16" ht="15" customHeight="1" x14ac:dyDescent="0.3">
      <c r="A126" s="16" t="s">
        <v>321</v>
      </c>
      <c r="B126" s="17">
        <v>1318.01</v>
      </c>
      <c r="C126" s="17">
        <v>1156.18</v>
      </c>
      <c r="D126" s="17">
        <v>2130.8200000000002</v>
      </c>
      <c r="E126" s="17">
        <v>1970.43</v>
      </c>
      <c r="F126" s="17">
        <v>1163.27</v>
      </c>
      <c r="G126" s="17">
        <v>897.94</v>
      </c>
      <c r="H126" s="17">
        <v>926.17</v>
      </c>
      <c r="I126" s="17">
        <v>937.49</v>
      </c>
      <c r="J126" s="17">
        <v>945.94</v>
      </c>
      <c r="K126" s="17">
        <v>900.98</v>
      </c>
      <c r="L126" s="17">
        <v>519.92999999999995</v>
      </c>
      <c r="M126" s="17">
        <v>547.74</v>
      </c>
      <c r="N126" s="17">
        <v>539.91</v>
      </c>
      <c r="O126" s="17">
        <v>517</v>
      </c>
      <c r="P126" s="17">
        <v>591.53</v>
      </c>
    </row>
    <row r="127" spans="1:16" ht="15" customHeight="1" x14ac:dyDescent="0.3">
      <c r="A127" s="10" t="s">
        <v>322</v>
      </c>
      <c r="B127" s="11"/>
      <c r="C127" s="11"/>
      <c r="D127" s="11"/>
      <c r="E127" s="11"/>
      <c r="F127" s="11"/>
      <c r="G127" s="11"/>
      <c r="H127" s="11"/>
      <c r="I127" s="11"/>
      <c r="J127" s="11"/>
      <c r="K127" s="11"/>
      <c r="L127" s="11"/>
      <c r="M127" s="11"/>
      <c r="N127" s="11"/>
      <c r="O127" s="11"/>
      <c r="P127" s="11"/>
    </row>
    <row r="128" spans="1:16" ht="15" customHeight="1" x14ac:dyDescent="0.3">
      <c r="A128" s="16" t="s">
        <v>323</v>
      </c>
      <c r="B128" s="17">
        <v>5198.58</v>
      </c>
      <c r="C128" s="17">
        <v>5410.12</v>
      </c>
      <c r="D128" s="17">
        <v>6431.01</v>
      </c>
      <c r="E128" s="17">
        <v>6658.31</v>
      </c>
      <c r="F128" s="17">
        <v>4859.3900000000003</v>
      </c>
      <c r="G128" s="17">
        <v>3561.86</v>
      </c>
      <c r="H128" s="17">
        <v>2130.06</v>
      </c>
      <c r="I128" s="17">
        <v>2129.5500000000002</v>
      </c>
      <c r="J128" s="17">
        <v>1735.91</v>
      </c>
      <c r="K128" s="17">
        <v>1680.86</v>
      </c>
      <c r="L128" s="17">
        <v>1031.0999999999999</v>
      </c>
      <c r="M128" s="17">
        <v>966.13</v>
      </c>
      <c r="N128" s="17">
        <v>1030.77</v>
      </c>
      <c r="O128" s="17">
        <v>970.53</v>
      </c>
      <c r="P128" s="17">
        <v>827.54</v>
      </c>
    </row>
    <row r="129" spans="1:16" ht="15" customHeight="1" x14ac:dyDescent="0.3">
      <c r="A129" s="10" t="s">
        <v>324</v>
      </c>
      <c r="B129" s="11"/>
      <c r="C129" s="11"/>
      <c r="D129" s="11"/>
      <c r="E129" s="11"/>
      <c r="F129" s="11"/>
      <c r="G129" s="11"/>
      <c r="H129" s="11"/>
      <c r="I129" s="11"/>
      <c r="J129" s="11"/>
      <c r="K129" s="11"/>
      <c r="L129" s="11"/>
      <c r="M129" s="11"/>
      <c r="N129" s="11"/>
      <c r="O129" s="11"/>
      <c r="P129" s="11"/>
    </row>
    <row r="130" spans="1:16" ht="15" customHeight="1" x14ac:dyDescent="0.3">
      <c r="A130" s="12" t="s">
        <v>325</v>
      </c>
      <c r="B130" s="15">
        <v>86.63</v>
      </c>
      <c r="C130" s="15">
        <v>84.78</v>
      </c>
      <c r="D130" s="15">
        <v>83.58</v>
      </c>
      <c r="E130" s="15">
        <v>82.58</v>
      </c>
      <c r="F130" s="15">
        <v>81.73</v>
      </c>
      <c r="G130" s="15">
        <v>80.959999999999994</v>
      </c>
      <c r="H130" s="15">
        <v>80.67</v>
      </c>
      <c r="I130" s="15">
        <v>81.63</v>
      </c>
      <c r="J130" s="15">
        <v>81.98</v>
      </c>
      <c r="K130" s="15">
        <v>83.82</v>
      </c>
      <c r="L130" s="15">
        <v>57</v>
      </c>
      <c r="M130" s="15">
        <v>56.03</v>
      </c>
      <c r="N130" s="15">
        <v>55.53</v>
      </c>
      <c r="O130" s="15">
        <v>54.29</v>
      </c>
      <c r="P130" s="15">
        <v>58.34</v>
      </c>
    </row>
    <row r="131" spans="1:16" ht="15" customHeight="1" x14ac:dyDescent="0.3">
      <c r="A131" s="14" t="s">
        <v>326</v>
      </c>
      <c r="B131" s="15">
        <v>86.63</v>
      </c>
      <c r="C131" s="15">
        <v>84.78</v>
      </c>
      <c r="D131" s="15">
        <v>83.58</v>
      </c>
      <c r="E131" s="15">
        <v>82.58</v>
      </c>
      <c r="F131" s="15">
        <v>81.73</v>
      </c>
      <c r="G131" s="15">
        <v>80.959999999999994</v>
      </c>
      <c r="H131" s="15">
        <v>80.67</v>
      </c>
      <c r="I131" s="15">
        <v>81.63</v>
      </c>
      <c r="J131" s="15">
        <v>81.98</v>
      </c>
      <c r="K131" s="15">
        <v>83.82</v>
      </c>
      <c r="L131" s="15">
        <v>57</v>
      </c>
      <c r="M131" s="15">
        <v>56.03</v>
      </c>
      <c r="N131" s="15">
        <v>55.53</v>
      </c>
      <c r="O131" s="15">
        <v>54.29</v>
      </c>
      <c r="P131" s="15">
        <v>58.34</v>
      </c>
    </row>
    <row r="132" spans="1:16" ht="15" customHeight="1" x14ac:dyDescent="0.3">
      <c r="A132" s="14" t="s">
        <v>327</v>
      </c>
      <c r="B132" s="19">
        <v>0</v>
      </c>
      <c r="C132" s="19">
        <v>0</v>
      </c>
      <c r="D132" s="19">
        <v>0</v>
      </c>
      <c r="E132" s="19">
        <v>0</v>
      </c>
      <c r="F132" s="19">
        <v>0</v>
      </c>
      <c r="G132" s="19">
        <v>0</v>
      </c>
      <c r="H132" s="19">
        <v>0</v>
      </c>
      <c r="I132" s="19">
        <v>0</v>
      </c>
      <c r="J132" s="19">
        <v>0</v>
      </c>
      <c r="K132" s="19">
        <v>0</v>
      </c>
      <c r="L132" s="19">
        <v>0</v>
      </c>
      <c r="M132" s="19">
        <v>0</v>
      </c>
      <c r="N132" s="19">
        <v>0</v>
      </c>
      <c r="O132" s="19">
        <v>0</v>
      </c>
      <c r="P132" s="19">
        <v>0</v>
      </c>
    </row>
    <row r="133" spans="1:16" ht="15" customHeight="1" x14ac:dyDescent="0.3">
      <c r="A133" s="12" t="s">
        <v>328</v>
      </c>
      <c r="B133" s="13">
        <v>240</v>
      </c>
      <c r="C133" s="13">
        <v>240</v>
      </c>
      <c r="D133" s="13">
        <v>240</v>
      </c>
      <c r="E133" s="13">
        <v>240</v>
      </c>
      <c r="F133" s="13">
        <v>240</v>
      </c>
      <c r="G133" s="13">
        <v>240</v>
      </c>
      <c r="H133" s="13">
        <v>240</v>
      </c>
      <c r="I133" s="13">
        <v>240</v>
      </c>
      <c r="J133" s="13">
        <v>240</v>
      </c>
      <c r="K133" s="13">
        <v>240</v>
      </c>
      <c r="L133" s="13">
        <v>240</v>
      </c>
      <c r="M133" s="13">
        <v>240</v>
      </c>
      <c r="N133" s="13">
        <v>240</v>
      </c>
      <c r="O133" s="19"/>
      <c r="P133" s="19"/>
    </row>
    <row r="134" spans="1:16" ht="15" customHeight="1" x14ac:dyDescent="0.3">
      <c r="A134" s="12" t="s">
        <v>328</v>
      </c>
      <c r="B134" s="15">
        <v>60</v>
      </c>
      <c r="C134" s="15">
        <v>60</v>
      </c>
      <c r="D134" s="15">
        <v>60</v>
      </c>
      <c r="E134" s="15">
        <v>60</v>
      </c>
      <c r="F134" s="15">
        <v>60</v>
      </c>
      <c r="G134" s="15">
        <v>60</v>
      </c>
      <c r="H134" s="15">
        <v>60</v>
      </c>
      <c r="I134" s="15">
        <v>60</v>
      </c>
      <c r="J134" s="15">
        <v>60</v>
      </c>
      <c r="K134" s="15">
        <v>60</v>
      </c>
      <c r="L134" s="15">
        <v>60</v>
      </c>
      <c r="M134" s="15">
        <v>60</v>
      </c>
      <c r="N134" s="15">
        <v>60</v>
      </c>
      <c r="O134" s="19"/>
      <c r="P134" s="19"/>
    </row>
    <row r="135" spans="1:16" ht="15" customHeight="1" x14ac:dyDescent="0.3">
      <c r="A135" s="12" t="s">
        <v>329</v>
      </c>
      <c r="B135" s="15">
        <v>74.69</v>
      </c>
      <c r="C135" s="15">
        <v>72.84</v>
      </c>
      <c r="D135" s="15">
        <v>71.650000000000006</v>
      </c>
      <c r="E135" s="15">
        <v>70.650000000000006</v>
      </c>
      <c r="F135" s="15">
        <v>69.790000000000006</v>
      </c>
      <c r="G135" s="15">
        <v>69.03</v>
      </c>
      <c r="H135" s="15">
        <v>68.739999999999995</v>
      </c>
      <c r="I135" s="15">
        <v>69.7</v>
      </c>
      <c r="J135" s="15">
        <v>70.040000000000006</v>
      </c>
      <c r="K135" s="15">
        <v>71.89</v>
      </c>
      <c r="L135" s="15">
        <v>45.06</v>
      </c>
      <c r="M135" s="15">
        <v>44.09</v>
      </c>
      <c r="N135" s="15">
        <v>43.59</v>
      </c>
      <c r="O135" s="15">
        <v>42.35</v>
      </c>
      <c r="P135" s="15">
        <v>46.4</v>
      </c>
    </row>
    <row r="136" spans="1:16" ht="15" customHeight="1" x14ac:dyDescent="0.3">
      <c r="A136" s="14" t="s">
        <v>330</v>
      </c>
      <c r="B136" s="15">
        <v>74.69</v>
      </c>
      <c r="C136" s="15">
        <v>72.84</v>
      </c>
      <c r="D136" s="15">
        <v>71.650000000000006</v>
      </c>
      <c r="E136" s="15">
        <v>70.650000000000006</v>
      </c>
      <c r="F136" s="15">
        <v>69.790000000000006</v>
      </c>
      <c r="G136" s="15">
        <v>69.03</v>
      </c>
      <c r="H136" s="15">
        <v>68.739999999999995</v>
      </c>
      <c r="I136" s="15">
        <v>69.7</v>
      </c>
      <c r="J136" s="15">
        <v>70.040000000000006</v>
      </c>
      <c r="K136" s="15">
        <v>71.89</v>
      </c>
      <c r="L136" s="15">
        <v>45.06</v>
      </c>
      <c r="M136" s="15">
        <v>44.09</v>
      </c>
      <c r="N136" s="15">
        <v>43.59</v>
      </c>
      <c r="O136" s="15">
        <v>42.35</v>
      </c>
      <c r="P136" s="15">
        <v>46.4</v>
      </c>
    </row>
    <row r="137" spans="1:16" ht="15" customHeight="1" x14ac:dyDescent="0.3">
      <c r="A137" s="14" t="s">
        <v>331</v>
      </c>
      <c r="B137" s="19">
        <v>0</v>
      </c>
      <c r="C137" s="19">
        <v>0</v>
      </c>
      <c r="D137" s="19">
        <v>0</v>
      </c>
      <c r="E137" s="19">
        <v>0</v>
      </c>
      <c r="F137" s="19">
        <v>0</v>
      </c>
      <c r="G137" s="19">
        <v>0</v>
      </c>
      <c r="H137" s="19">
        <v>0</v>
      </c>
      <c r="I137" s="19">
        <v>0</v>
      </c>
      <c r="J137" s="19">
        <v>0</v>
      </c>
      <c r="K137" s="19">
        <v>0</v>
      </c>
      <c r="L137" s="19">
        <v>0</v>
      </c>
      <c r="M137" s="19">
        <v>0</v>
      </c>
      <c r="N137" s="19">
        <v>0</v>
      </c>
      <c r="O137" s="19">
        <v>0</v>
      </c>
      <c r="P137" s="19">
        <v>0</v>
      </c>
    </row>
    <row r="138" spans="1:16" ht="15" customHeight="1" x14ac:dyDescent="0.3">
      <c r="A138" s="12" t="s">
        <v>329</v>
      </c>
      <c r="B138" s="15">
        <v>11.93</v>
      </c>
      <c r="C138" s="15">
        <v>11.93</v>
      </c>
      <c r="D138" s="15">
        <v>11.93</v>
      </c>
      <c r="E138" s="15">
        <v>11.93</v>
      </c>
      <c r="F138" s="15">
        <v>11.93</v>
      </c>
      <c r="G138" s="15">
        <v>11.93</v>
      </c>
      <c r="H138" s="15">
        <v>11.93</v>
      </c>
      <c r="I138" s="15">
        <v>11.93</v>
      </c>
      <c r="J138" s="15">
        <v>11.93</v>
      </c>
      <c r="K138" s="15">
        <v>11.93</v>
      </c>
      <c r="L138" s="15">
        <v>11.93</v>
      </c>
      <c r="M138" s="15">
        <v>11.93</v>
      </c>
      <c r="N138" s="15">
        <v>11.93</v>
      </c>
      <c r="O138" s="15">
        <v>11.93</v>
      </c>
      <c r="P138" s="15">
        <v>11.93</v>
      </c>
    </row>
    <row r="139" spans="1:16" ht="15" customHeight="1" x14ac:dyDescent="0.3">
      <c r="A139" s="14" t="s">
        <v>330</v>
      </c>
      <c r="B139" s="15">
        <v>11.93</v>
      </c>
      <c r="C139" s="15">
        <v>11.93</v>
      </c>
      <c r="D139" s="15">
        <v>11.93</v>
      </c>
      <c r="E139" s="15">
        <v>11.93</v>
      </c>
      <c r="F139" s="15">
        <v>11.93</v>
      </c>
      <c r="G139" s="15">
        <v>11.93</v>
      </c>
      <c r="H139" s="15">
        <v>11.93</v>
      </c>
      <c r="I139" s="15">
        <v>11.93</v>
      </c>
      <c r="J139" s="15">
        <v>11.93</v>
      </c>
      <c r="K139" s="15">
        <v>11.93</v>
      </c>
      <c r="L139" s="15">
        <v>11.93</v>
      </c>
      <c r="M139" s="15">
        <v>11.93</v>
      </c>
      <c r="N139" s="15">
        <v>11.93</v>
      </c>
      <c r="O139" s="15">
        <v>11.93</v>
      </c>
      <c r="P139" s="15">
        <v>11.93</v>
      </c>
    </row>
    <row r="140" spans="1:16" ht="15" customHeight="1" x14ac:dyDescent="0.3">
      <c r="A140" s="14" t="s">
        <v>331</v>
      </c>
      <c r="B140" s="19">
        <v>0</v>
      </c>
      <c r="C140" s="19">
        <v>0</v>
      </c>
      <c r="D140" s="19">
        <v>0</v>
      </c>
      <c r="E140" s="19">
        <v>0</v>
      </c>
      <c r="F140" s="19">
        <v>0</v>
      </c>
      <c r="G140" s="19">
        <v>0</v>
      </c>
      <c r="H140" s="19">
        <v>0</v>
      </c>
      <c r="I140" s="19">
        <v>0</v>
      </c>
      <c r="J140" s="19">
        <v>0</v>
      </c>
      <c r="K140" s="19">
        <v>0</v>
      </c>
      <c r="L140" s="19">
        <v>0</v>
      </c>
      <c r="M140" s="19">
        <v>0</v>
      </c>
      <c r="N140" s="19">
        <v>0</v>
      </c>
      <c r="O140" s="19"/>
      <c r="P140" s="19"/>
    </row>
    <row r="141" spans="1:16" ht="15" customHeight="1" x14ac:dyDescent="0.3">
      <c r="A141" s="10" t="s">
        <v>332</v>
      </c>
      <c r="B141" s="11"/>
      <c r="C141" s="11"/>
      <c r="D141" s="11"/>
      <c r="E141" s="11"/>
      <c r="F141" s="11"/>
      <c r="G141" s="11"/>
      <c r="H141" s="11"/>
      <c r="I141" s="11"/>
      <c r="J141" s="11"/>
      <c r="K141" s="11"/>
      <c r="L141" s="11"/>
      <c r="M141" s="11"/>
      <c r="N141" s="11"/>
      <c r="O141" s="11"/>
      <c r="P141" s="11"/>
    </row>
    <row r="142" spans="1:16" ht="15" customHeight="1" x14ac:dyDescent="0.3">
      <c r="A142" s="12" t="s">
        <v>333</v>
      </c>
      <c r="B142" s="15">
        <v>0.1</v>
      </c>
      <c r="C142" s="15">
        <v>0.1</v>
      </c>
      <c r="D142" s="15">
        <v>0.1</v>
      </c>
      <c r="E142" s="15">
        <v>0.1</v>
      </c>
      <c r="F142" s="19"/>
      <c r="G142" s="19"/>
      <c r="H142" s="19"/>
      <c r="I142" s="19"/>
      <c r="J142" s="19"/>
      <c r="K142" s="19"/>
      <c r="L142" s="19"/>
      <c r="M142" s="19"/>
      <c r="N142" s="19"/>
      <c r="O142" s="19"/>
      <c r="P142" s="19"/>
    </row>
    <row r="143" spans="1:16" ht="15" customHeight="1" x14ac:dyDescent="0.3">
      <c r="A143" s="12" t="s">
        <v>334</v>
      </c>
      <c r="B143" s="15">
        <v>0.01</v>
      </c>
      <c r="C143" s="15">
        <v>0.01</v>
      </c>
      <c r="D143" s="15">
        <v>0.01</v>
      </c>
      <c r="E143" s="15">
        <v>0.01</v>
      </c>
      <c r="F143" s="19"/>
      <c r="G143" s="19"/>
      <c r="H143" s="19"/>
      <c r="I143" s="19"/>
      <c r="J143" s="19"/>
      <c r="K143" s="19"/>
      <c r="L143" s="19"/>
      <c r="M143" s="19"/>
      <c r="N143" s="19"/>
      <c r="O143" s="19"/>
      <c r="P143" s="19"/>
    </row>
    <row r="144" spans="1:16" ht="15" customHeight="1" x14ac:dyDescent="0.3">
      <c r="A144" s="14" t="s">
        <v>335</v>
      </c>
      <c r="B144" s="15">
        <v>0.01</v>
      </c>
      <c r="C144" s="15">
        <v>0.01</v>
      </c>
      <c r="D144" s="15">
        <v>0.01</v>
      </c>
      <c r="E144" s="15">
        <v>0.01</v>
      </c>
      <c r="F144" s="19"/>
      <c r="G144" s="19"/>
      <c r="H144" s="19"/>
      <c r="I144" s="19"/>
      <c r="J144" s="19"/>
      <c r="K144" s="19"/>
      <c r="L144" s="19"/>
      <c r="M144" s="19"/>
      <c r="N144" s="19"/>
      <c r="O144" s="19"/>
      <c r="P144" s="19"/>
    </row>
    <row r="145" spans="1:16" ht="15" customHeight="1" x14ac:dyDescent="0.3">
      <c r="A145" s="14" t="s">
        <v>336</v>
      </c>
      <c r="B145" s="19">
        <v>0</v>
      </c>
      <c r="C145" s="19">
        <v>0</v>
      </c>
      <c r="D145" s="19">
        <v>0</v>
      </c>
      <c r="E145" s="19">
        <v>0</v>
      </c>
      <c r="F145" s="19"/>
      <c r="G145" s="19"/>
      <c r="H145" s="19"/>
      <c r="I145" s="19"/>
      <c r="J145" s="19"/>
      <c r="K145" s="19"/>
      <c r="L145" s="19"/>
      <c r="M145" s="19"/>
      <c r="N145" s="19"/>
      <c r="O145" s="19"/>
      <c r="P145" s="19"/>
    </row>
    <row r="146" spans="1:16" ht="15" customHeight="1" x14ac:dyDescent="0.3">
      <c r="A146" s="10" t="s">
        <v>337</v>
      </c>
      <c r="B146" s="11"/>
      <c r="C146" s="11"/>
      <c r="D146" s="11"/>
      <c r="E146" s="11"/>
      <c r="F146" s="11"/>
      <c r="G146" s="11"/>
      <c r="H146" s="11"/>
      <c r="I146" s="11"/>
      <c r="J146" s="11"/>
      <c r="K146" s="11"/>
      <c r="L146" s="11"/>
      <c r="M146" s="11"/>
      <c r="N146" s="11"/>
      <c r="O146" s="11"/>
      <c r="P146" s="11"/>
    </row>
    <row r="147" spans="1:16" ht="15" customHeight="1" x14ac:dyDescent="0.3">
      <c r="A147" s="12" t="s">
        <v>338</v>
      </c>
      <c r="B147" s="15">
        <v>0.86</v>
      </c>
      <c r="C147" s="15">
        <v>0.86</v>
      </c>
      <c r="D147" s="15">
        <v>0.86</v>
      </c>
      <c r="E147" s="15">
        <v>0.86</v>
      </c>
      <c r="F147" s="15">
        <v>0.85</v>
      </c>
      <c r="G147" s="15">
        <v>0.85</v>
      </c>
      <c r="H147" s="15">
        <v>0.85</v>
      </c>
      <c r="I147" s="15">
        <v>0.85</v>
      </c>
      <c r="J147" s="15">
        <v>0.85</v>
      </c>
      <c r="K147" s="15">
        <v>0.86</v>
      </c>
      <c r="L147" s="15">
        <v>0.79</v>
      </c>
      <c r="M147" s="15">
        <v>0.79</v>
      </c>
      <c r="N147" s="15">
        <v>0.79</v>
      </c>
      <c r="O147" s="15">
        <v>0.78</v>
      </c>
      <c r="P147" s="15">
        <v>0.8</v>
      </c>
    </row>
    <row r="148" spans="1:16" ht="15" customHeight="1" x14ac:dyDescent="0.3">
      <c r="A148" s="12" t="s">
        <v>338</v>
      </c>
      <c r="B148" s="15">
        <v>0.14000000000000001</v>
      </c>
      <c r="C148" s="15">
        <v>0.14000000000000001</v>
      </c>
      <c r="D148" s="15">
        <v>0.14000000000000001</v>
      </c>
      <c r="E148" s="15">
        <v>0.14000000000000001</v>
      </c>
      <c r="F148" s="15">
        <v>0.15</v>
      </c>
      <c r="G148" s="15">
        <v>0.15</v>
      </c>
      <c r="H148" s="15">
        <v>0.15</v>
      </c>
      <c r="I148" s="15">
        <v>0.15</v>
      </c>
      <c r="J148" s="15">
        <v>0.15</v>
      </c>
      <c r="K148" s="15">
        <v>0.14000000000000001</v>
      </c>
      <c r="L148" s="15">
        <v>0.21</v>
      </c>
      <c r="M148" s="15">
        <v>0.21</v>
      </c>
      <c r="N148" s="15">
        <v>0.21</v>
      </c>
      <c r="O148" s="15">
        <v>0.22</v>
      </c>
      <c r="P148" s="15">
        <v>0.2</v>
      </c>
    </row>
    <row r="149" spans="1:16" ht="15" customHeight="1" x14ac:dyDescent="0.3">
      <c r="A149" s="10" t="s">
        <v>339</v>
      </c>
      <c r="B149" s="11"/>
      <c r="C149" s="11"/>
      <c r="D149" s="11"/>
      <c r="E149" s="11"/>
      <c r="F149" s="11"/>
      <c r="G149" s="11"/>
      <c r="H149" s="11"/>
      <c r="I149" s="11"/>
      <c r="J149" s="11"/>
      <c r="K149" s="11"/>
      <c r="L149" s="11"/>
      <c r="M149" s="11"/>
      <c r="N149" s="11"/>
      <c r="O149" s="11"/>
      <c r="P149" s="11"/>
    </row>
    <row r="150" spans="1:16" ht="15" customHeight="1" x14ac:dyDescent="0.3">
      <c r="A150" s="12" t="s">
        <v>340</v>
      </c>
      <c r="B150" s="13">
        <v>116.8</v>
      </c>
      <c r="C150" s="13">
        <v>126.65</v>
      </c>
      <c r="D150" s="13">
        <v>146.12</v>
      </c>
      <c r="E150" s="13">
        <v>124.82</v>
      </c>
      <c r="F150" s="15">
        <v>51.47</v>
      </c>
      <c r="G150" s="13">
        <v>128.19</v>
      </c>
      <c r="H150" s="19"/>
      <c r="I150" s="19"/>
      <c r="J150" s="19"/>
      <c r="K150" s="19"/>
      <c r="L150" s="19"/>
      <c r="M150" s="19"/>
      <c r="N150" s="19"/>
      <c r="O150" s="19"/>
      <c r="P150" s="19"/>
    </row>
    <row r="151" spans="1:16" ht="15" customHeight="1" x14ac:dyDescent="0.3">
      <c r="A151" s="14" t="s">
        <v>341</v>
      </c>
      <c r="B151" s="15">
        <v>90.14</v>
      </c>
      <c r="C151" s="15">
        <v>99.19</v>
      </c>
      <c r="D151" s="13">
        <v>117.87</v>
      </c>
      <c r="E151" s="13">
        <v>124.82</v>
      </c>
      <c r="F151" s="15">
        <v>51.47</v>
      </c>
      <c r="G151" s="13">
        <v>128.19</v>
      </c>
      <c r="H151" s="19"/>
      <c r="I151" s="19"/>
      <c r="J151" s="19"/>
      <c r="K151" s="19"/>
      <c r="L151" s="19"/>
      <c r="M151" s="19"/>
      <c r="N151" s="19"/>
      <c r="O151" s="19"/>
      <c r="P151" s="19"/>
    </row>
    <row r="152" spans="1:16" ht="15" customHeight="1" x14ac:dyDescent="0.3">
      <c r="A152" s="14" t="s">
        <v>342</v>
      </c>
      <c r="B152" s="15">
        <v>26.66</v>
      </c>
      <c r="C152" s="15">
        <v>27.46</v>
      </c>
      <c r="D152" s="15">
        <v>28.25</v>
      </c>
      <c r="E152" s="19"/>
      <c r="F152" s="19"/>
      <c r="G152" s="19"/>
      <c r="H152" s="19"/>
      <c r="I152" s="19"/>
      <c r="J152" s="19"/>
      <c r="K152" s="19"/>
      <c r="L152" s="19"/>
      <c r="M152" s="19"/>
      <c r="N152" s="19"/>
      <c r="O152" s="19"/>
      <c r="P152" s="19"/>
    </row>
    <row r="153" spans="1:16" ht="15" customHeight="1" x14ac:dyDescent="0.3">
      <c r="A153" s="12" t="s">
        <v>343</v>
      </c>
      <c r="B153" s="13">
        <v>427.24</v>
      </c>
      <c r="C153" s="13">
        <v>427.8</v>
      </c>
      <c r="D153" s="13">
        <v>430.35</v>
      </c>
      <c r="E153" s="13">
        <v>456.95</v>
      </c>
      <c r="F153" s="13">
        <v>343.92</v>
      </c>
      <c r="G153" s="13">
        <v>370.38</v>
      </c>
      <c r="H153" s="19"/>
      <c r="I153" s="19"/>
      <c r="J153" s="19"/>
      <c r="K153" s="19"/>
      <c r="L153" s="19"/>
      <c r="M153" s="19"/>
      <c r="N153" s="19"/>
      <c r="O153" s="19"/>
      <c r="P153" s="19"/>
    </row>
    <row r="154" spans="1:16" ht="15" customHeight="1" x14ac:dyDescent="0.3">
      <c r="A154" s="10" t="s">
        <v>344</v>
      </c>
      <c r="B154" s="11"/>
      <c r="C154" s="11"/>
      <c r="D154" s="11"/>
      <c r="E154" s="11"/>
      <c r="F154" s="11"/>
      <c r="G154" s="11"/>
      <c r="H154" s="11"/>
      <c r="I154" s="11"/>
      <c r="J154" s="11"/>
      <c r="K154" s="11"/>
      <c r="L154" s="11"/>
      <c r="M154" s="11"/>
      <c r="N154" s="11"/>
      <c r="O154" s="11"/>
      <c r="P154" s="11"/>
    </row>
    <row r="155" spans="1:16" ht="15" customHeight="1" x14ac:dyDescent="0.3">
      <c r="A155" s="12" t="s">
        <v>345</v>
      </c>
      <c r="B155" s="15">
        <v>97.49</v>
      </c>
      <c r="C155" s="13">
        <v>107.18</v>
      </c>
      <c r="D155" s="13">
        <v>126.47</v>
      </c>
      <c r="E155" s="13">
        <v>133.96</v>
      </c>
      <c r="F155" s="15">
        <v>51.72</v>
      </c>
      <c r="G155" s="13">
        <v>128.69999999999999</v>
      </c>
      <c r="H155" s="19"/>
      <c r="I155" s="19"/>
      <c r="J155" s="19"/>
      <c r="K155" s="19"/>
      <c r="L155" s="19"/>
      <c r="M155" s="19"/>
      <c r="N155" s="19"/>
      <c r="O155" s="19"/>
      <c r="P155" s="19"/>
    </row>
    <row r="156" spans="1:16" ht="15" customHeight="1" x14ac:dyDescent="0.3">
      <c r="A156" s="14" t="s">
        <v>346</v>
      </c>
      <c r="B156" s="15">
        <v>18.09</v>
      </c>
      <c r="C156" s="15">
        <v>19.47</v>
      </c>
      <c r="D156" s="15">
        <v>19.600000000000001</v>
      </c>
      <c r="E156" s="15">
        <v>20.07</v>
      </c>
      <c r="F156" s="15">
        <v>9.6199999999999992</v>
      </c>
      <c r="G156" s="15">
        <v>15.05</v>
      </c>
      <c r="H156" s="19"/>
      <c r="I156" s="19"/>
      <c r="J156" s="19"/>
      <c r="K156" s="19"/>
      <c r="L156" s="19"/>
      <c r="M156" s="19"/>
      <c r="N156" s="19"/>
      <c r="O156" s="19"/>
      <c r="P156" s="19"/>
    </row>
    <row r="157" spans="1:16" ht="15" customHeight="1" x14ac:dyDescent="0.3">
      <c r="A157" s="14" t="s">
        <v>347</v>
      </c>
      <c r="B157" s="15">
        <v>79.400000000000006</v>
      </c>
      <c r="C157" s="15">
        <v>87.71</v>
      </c>
      <c r="D157" s="13">
        <v>106.87</v>
      </c>
      <c r="E157" s="13">
        <v>113.89</v>
      </c>
      <c r="F157" s="15">
        <v>42.1</v>
      </c>
      <c r="G157" s="13">
        <v>113.65</v>
      </c>
      <c r="H157" s="19"/>
      <c r="I157" s="19"/>
      <c r="J157" s="19"/>
      <c r="K157" s="19"/>
      <c r="L157" s="19"/>
      <c r="M157" s="19"/>
      <c r="N157" s="19"/>
      <c r="O157" s="19"/>
      <c r="P157" s="19"/>
    </row>
    <row r="158" spans="1:16" ht="15" customHeight="1" x14ac:dyDescent="0.3">
      <c r="A158" s="12" t="s">
        <v>348</v>
      </c>
      <c r="B158" s="13">
        <v>128.51</v>
      </c>
      <c r="C158" s="13">
        <v>137.33000000000001</v>
      </c>
      <c r="D158" s="13">
        <v>154.94999999999999</v>
      </c>
      <c r="E158" s="13">
        <v>133.96</v>
      </c>
      <c r="F158" s="15">
        <v>51.72</v>
      </c>
      <c r="G158" s="13">
        <v>128.69999999999999</v>
      </c>
      <c r="H158" s="19"/>
      <c r="I158" s="19"/>
      <c r="J158" s="19"/>
      <c r="K158" s="19"/>
      <c r="L158" s="19"/>
      <c r="M158" s="19"/>
      <c r="N158" s="19"/>
      <c r="O158" s="19"/>
      <c r="P158" s="19"/>
    </row>
    <row r="159" spans="1:16" ht="15" customHeight="1" x14ac:dyDescent="0.3">
      <c r="A159" s="12" t="s">
        <v>349</v>
      </c>
      <c r="B159" s="13">
        <v>2704.68</v>
      </c>
      <c r="C159" s="13">
        <v>3049.76</v>
      </c>
      <c r="D159" s="13">
        <v>3027.36</v>
      </c>
      <c r="E159" s="13">
        <v>3281.96</v>
      </c>
      <c r="F159" s="13">
        <v>2985.69</v>
      </c>
      <c r="G159" s="13">
        <v>2043.73</v>
      </c>
      <c r="H159" s="13">
        <v>688.76</v>
      </c>
      <c r="I159" s="13">
        <v>693.28</v>
      </c>
      <c r="J159" s="13">
        <v>393.19</v>
      </c>
      <c r="K159" s="13">
        <v>399.14</v>
      </c>
      <c r="L159" s="13">
        <v>196.37</v>
      </c>
      <c r="M159" s="13">
        <v>200</v>
      </c>
      <c r="N159" s="13">
        <v>196.1</v>
      </c>
      <c r="O159" s="13">
        <v>212</v>
      </c>
      <c r="P159" s="19">
        <v>0</v>
      </c>
    </row>
    <row r="160" spans="1:16" ht="15" customHeight="1" x14ac:dyDescent="0.3">
      <c r="A160" s="10" t="s">
        <v>350</v>
      </c>
      <c r="B160" s="11"/>
      <c r="C160" s="11"/>
      <c r="D160" s="11"/>
      <c r="E160" s="11"/>
      <c r="F160" s="11"/>
      <c r="G160" s="11"/>
      <c r="H160" s="11"/>
      <c r="I160" s="11"/>
      <c r="J160" s="11"/>
      <c r="K160" s="11"/>
      <c r="L160" s="11"/>
      <c r="M160" s="11"/>
      <c r="N160" s="11"/>
      <c r="O160" s="11"/>
      <c r="P160" s="11"/>
    </row>
    <row r="161" spans="1:16" ht="15" customHeight="1" x14ac:dyDescent="0.3">
      <c r="A161" s="12" t="s">
        <v>351</v>
      </c>
      <c r="B161" s="15">
        <v>8.8800000000000008</v>
      </c>
      <c r="C161" s="15">
        <v>23.27</v>
      </c>
      <c r="D161" s="15">
        <v>23.14</v>
      </c>
      <c r="E161" s="15">
        <v>21.63</v>
      </c>
      <c r="F161" s="15">
        <v>14.4</v>
      </c>
      <c r="G161" s="15">
        <v>8.3800000000000008</v>
      </c>
      <c r="H161" s="15">
        <v>4.1100000000000003</v>
      </c>
      <c r="I161" s="15">
        <v>4.5999999999999996</v>
      </c>
      <c r="J161" s="15">
        <v>10.77</v>
      </c>
      <c r="K161" s="15">
        <v>10.65</v>
      </c>
      <c r="L161" s="15">
        <v>5.43</v>
      </c>
      <c r="M161" s="15">
        <v>16.57</v>
      </c>
      <c r="N161" s="15">
        <v>21.12</v>
      </c>
      <c r="O161" s="15">
        <v>15.3</v>
      </c>
      <c r="P161" s="15">
        <v>10.37</v>
      </c>
    </row>
    <row r="162" spans="1:16" ht="15" customHeight="1" x14ac:dyDescent="0.3">
      <c r="A162" s="12" t="s">
        <v>352</v>
      </c>
      <c r="B162" s="13">
        <v>568.19000000000005</v>
      </c>
      <c r="C162" s="13">
        <v>610.54</v>
      </c>
      <c r="D162" s="13">
        <v>600.1</v>
      </c>
      <c r="E162" s="13">
        <v>573.29999999999995</v>
      </c>
      <c r="F162" s="13">
        <v>441.38</v>
      </c>
      <c r="G162" s="13">
        <v>417.5</v>
      </c>
      <c r="H162" s="13">
        <v>300.57</v>
      </c>
      <c r="I162" s="13">
        <v>245.37</v>
      </c>
      <c r="J162" s="13">
        <v>178.54</v>
      </c>
      <c r="K162" s="13">
        <v>176.53</v>
      </c>
      <c r="L162" s="15">
        <v>99.61</v>
      </c>
      <c r="M162" s="13">
        <v>140.13999999999999</v>
      </c>
      <c r="N162" s="13">
        <v>128.57</v>
      </c>
      <c r="O162" s="13">
        <v>165.32</v>
      </c>
      <c r="P162" s="13">
        <v>130.16</v>
      </c>
    </row>
    <row r="163" spans="1:16" ht="15" customHeight="1" x14ac:dyDescent="0.3">
      <c r="A163" s="14" t="s">
        <v>353</v>
      </c>
      <c r="B163" s="13">
        <v>575.64</v>
      </c>
      <c r="C163" s="13">
        <v>615.58000000000004</v>
      </c>
      <c r="D163" s="13">
        <v>605.05999999999995</v>
      </c>
      <c r="E163" s="13">
        <v>576.78</v>
      </c>
      <c r="F163" s="13">
        <v>432.46</v>
      </c>
      <c r="G163" s="13">
        <v>391.19</v>
      </c>
      <c r="H163" s="13">
        <v>285.7</v>
      </c>
      <c r="I163" s="13">
        <v>247.31</v>
      </c>
      <c r="J163" s="13">
        <v>180.03</v>
      </c>
      <c r="K163" s="13">
        <v>173.51</v>
      </c>
      <c r="L163" s="13">
        <v>101</v>
      </c>
      <c r="M163" s="13">
        <v>141.72999999999999</v>
      </c>
      <c r="N163" s="13">
        <v>128.13</v>
      </c>
      <c r="O163" s="13">
        <v>137.41999999999999</v>
      </c>
      <c r="P163" s="13">
        <v>118.36</v>
      </c>
    </row>
    <row r="164" spans="1:16" ht="15" customHeight="1" x14ac:dyDescent="0.3">
      <c r="A164" s="12" t="s">
        <v>354</v>
      </c>
      <c r="B164" s="19"/>
      <c r="C164" s="19"/>
      <c r="D164" s="19"/>
      <c r="E164" s="19"/>
      <c r="F164" s="19">
        <v>0</v>
      </c>
      <c r="G164" s="13">
        <v>101.27</v>
      </c>
      <c r="H164" s="19">
        <v>0</v>
      </c>
      <c r="I164" s="13">
        <v>136</v>
      </c>
      <c r="J164" s="13">
        <v>146.04</v>
      </c>
      <c r="K164" s="19">
        <v>0</v>
      </c>
      <c r="L164" s="13">
        <v>219.41</v>
      </c>
      <c r="M164" s="19"/>
      <c r="N164" s="19"/>
      <c r="O164" s="19"/>
      <c r="P164" s="19"/>
    </row>
    <row r="165" spans="1:16" ht="15" customHeight="1" x14ac:dyDescent="0.3">
      <c r="A165" s="12" t="s">
        <v>355</v>
      </c>
      <c r="B165" s="13">
        <v>449.55</v>
      </c>
      <c r="C165" s="13">
        <v>490.79</v>
      </c>
      <c r="D165" s="13">
        <v>471.44</v>
      </c>
      <c r="E165" s="13">
        <v>591.70000000000005</v>
      </c>
      <c r="F165" s="13">
        <v>1253.53</v>
      </c>
      <c r="G165" s="13">
        <v>217.83</v>
      </c>
      <c r="H165" s="13">
        <v>169.42</v>
      </c>
      <c r="I165" s="13">
        <v>199.86</v>
      </c>
      <c r="J165" s="15">
        <v>48.99</v>
      </c>
      <c r="K165" s="15">
        <v>46.4</v>
      </c>
      <c r="L165" s="15">
        <v>92.81</v>
      </c>
      <c r="M165" s="15">
        <v>62</v>
      </c>
      <c r="N165" s="15">
        <v>84.33</v>
      </c>
      <c r="O165" s="15">
        <v>78.900000000000006</v>
      </c>
      <c r="P165" s="15">
        <v>61.19</v>
      </c>
    </row>
    <row r="166" spans="1:16" ht="15" customHeight="1" x14ac:dyDescent="0.3">
      <c r="A166" s="12" t="s">
        <v>356</v>
      </c>
      <c r="B166" s="15">
        <v>33.18</v>
      </c>
      <c r="C166" s="19"/>
      <c r="D166" s="19"/>
      <c r="E166" s="19"/>
      <c r="F166" s="19"/>
      <c r="G166" s="19"/>
      <c r="H166" s="19"/>
      <c r="I166" s="19"/>
      <c r="J166" s="19"/>
      <c r="K166" s="19"/>
      <c r="L166" s="19"/>
      <c r="M166" s="19"/>
      <c r="N166" s="19"/>
      <c r="O166" s="19">
        <v>0</v>
      </c>
      <c r="P166" s="15">
        <v>7.31</v>
      </c>
    </row>
    <row r="167" spans="1:16" ht="15" customHeight="1" x14ac:dyDescent="0.3">
      <c r="A167" s="12" t="s">
        <v>357</v>
      </c>
      <c r="B167" s="13">
        <v>217.94</v>
      </c>
      <c r="C167" s="13">
        <v>181.19</v>
      </c>
      <c r="D167" s="13">
        <v>180.19</v>
      </c>
      <c r="E167" s="13">
        <v>203.14</v>
      </c>
      <c r="F167" s="13">
        <v>208.86</v>
      </c>
      <c r="G167" s="13">
        <v>113.39</v>
      </c>
      <c r="H167" s="13">
        <v>117.96</v>
      </c>
      <c r="I167" s="13">
        <v>109.98</v>
      </c>
      <c r="J167" s="15">
        <v>65.459999999999994</v>
      </c>
      <c r="K167" s="15">
        <v>90.67</v>
      </c>
      <c r="L167" s="15">
        <v>66.78</v>
      </c>
      <c r="M167" s="15">
        <v>72.44</v>
      </c>
      <c r="N167" s="15">
        <v>88.99</v>
      </c>
      <c r="O167" s="15">
        <v>74.510000000000005</v>
      </c>
      <c r="P167" s="15">
        <v>96.6</v>
      </c>
    </row>
    <row r="168" spans="1:16" ht="15" customHeight="1" x14ac:dyDescent="0.3">
      <c r="A168" s="14" t="s">
        <v>358</v>
      </c>
      <c r="B168" s="13">
        <v>100.67</v>
      </c>
      <c r="C168" s="15">
        <v>76.38</v>
      </c>
      <c r="D168" s="15">
        <v>82.71</v>
      </c>
      <c r="E168" s="15">
        <v>83.93</v>
      </c>
      <c r="F168" s="15">
        <v>68.14</v>
      </c>
      <c r="G168" s="15">
        <v>28.44</v>
      </c>
      <c r="H168" s="15">
        <v>26.92</v>
      </c>
      <c r="I168" s="15">
        <v>23.65</v>
      </c>
      <c r="J168" s="15">
        <v>15.98</v>
      </c>
      <c r="K168" s="15">
        <v>31.61</v>
      </c>
      <c r="L168" s="15">
        <v>13.99</v>
      </c>
      <c r="M168" s="15">
        <v>16.53</v>
      </c>
      <c r="N168" s="15">
        <v>23.33</v>
      </c>
      <c r="O168" s="15">
        <v>17.7</v>
      </c>
      <c r="P168" s="15">
        <v>34.090000000000003</v>
      </c>
    </row>
    <row r="169" spans="1:16" ht="15" customHeight="1" x14ac:dyDescent="0.3">
      <c r="A169" s="14" t="s">
        <v>359</v>
      </c>
      <c r="B169" s="13">
        <v>117.27</v>
      </c>
      <c r="C169" s="13">
        <v>104.8</v>
      </c>
      <c r="D169" s="15">
        <v>97.48</v>
      </c>
      <c r="E169" s="13">
        <v>119.21</v>
      </c>
      <c r="F169" s="13">
        <v>140.72</v>
      </c>
      <c r="G169" s="15">
        <v>84.95</v>
      </c>
      <c r="H169" s="15">
        <v>91.04</v>
      </c>
      <c r="I169" s="15">
        <v>86.34</v>
      </c>
      <c r="J169" s="15">
        <v>49.48</v>
      </c>
      <c r="K169" s="15">
        <v>59.06</v>
      </c>
      <c r="L169" s="15">
        <v>52.79</v>
      </c>
      <c r="M169" s="15">
        <v>55.92</v>
      </c>
      <c r="N169" s="15">
        <v>65.66</v>
      </c>
      <c r="O169" s="15">
        <v>56.81</v>
      </c>
      <c r="P169" s="15">
        <v>62.51</v>
      </c>
    </row>
    <row r="170" spans="1:16" ht="15" customHeight="1" x14ac:dyDescent="0.3">
      <c r="A170" s="12" t="s">
        <v>360</v>
      </c>
      <c r="B170" s="19"/>
      <c r="C170" s="19"/>
      <c r="D170" s="19"/>
      <c r="E170" s="19"/>
      <c r="F170" s="19"/>
      <c r="G170" s="15">
        <v>22.73</v>
      </c>
      <c r="H170" s="19">
        <v>0</v>
      </c>
      <c r="I170" s="15">
        <v>19.54</v>
      </c>
      <c r="J170" s="15">
        <v>28.18</v>
      </c>
      <c r="K170" s="19">
        <v>0</v>
      </c>
      <c r="L170" s="15">
        <v>60.73</v>
      </c>
      <c r="M170" s="19"/>
      <c r="N170" s="19"/>
      <c r="O170" s="19"/>
      <c r="P170" s="19"/>
    </row>
    <row r="171" spans="1:16" ht="15" customHeight="1" x14ac:dyDescent="0.3">
      <c r="A171" s="10" t="s">
        <v>361</v>
      </c>
      <c r="B171" s="11"/>
      <c r="C171" s="11"/>
      <c r="D171" s="11"/>
      <c r="E171" s="11"/>
      <c r="F171" s="11"/>
      <c r="G171" s="11"/>
      <c r="H171" s="11"/>
      <c r="I171" s="11"/>
      <c r="J171" s="11"/>
      <c r="K171" s="11"/>
      <c r="L171" s="11"/>
      <c r="M171" s="11"/>
      <c r="N171" s="11"/>
      <c r="O171" s="11"/>
      <c r="P171" s="11"/>
    </row>
    <row r="172" spans="1:16" ht="15" customHeight="1" x14ac:dyDescent="0.3">
      <c r="A172" s="12" t="s">
        <v>362</v>
      </c>
      <c r="B172" s="13">
        <v>2583.34</v>
      </c>
      <c r="C172" s="13">
        <v>2907.26</v>
      </c>
      <c r="D172" s="13">
        <v>2882.87</v>
      </c>
      <c r="E172" s="13">
        <v>3081.78</v>
      </c>
      <c r="F172" s="13">
        <v>2357.9499999999998</v>
      </c>
      <c r="G172" s="13">
        <v>1882.06</v>
      </c>
      <c r="H172" s="13">
        <v>586.75</v>
      </c>
      <c r="I172" s="13">
        <v>544.58000000000004</v>
      </c>
      <c r="J172" s="13">
        <v>258.83</v>
      </c>
      <c r="K172" s="13">
        <v>291.08</v>
      </c>
      <c r="L172" s="15">
        <v>37.909999999999997</v>
      </c>
      <c r="M172" s="23">
        <v>-21.25</v>
      </c>
      <c r="N172" s="23">
        <v>-46.54</v>
      </c>
      <c r="O172" s="15">
        <v>84.11</v>
      </c>
      <c r="P172" s="22">
        <v>-204.92</v>
      </c>
    </row>
    <row r="173" spans="1:16" ht="15" customHeight="1" x14ac:dyDescent="0.3">
      <c r="A173" s="12" t="s">
        <v>363</v>
      </c>
      <c r="B173" s="13">
        <v>2607.19</v>
      </c>
      <c r="C173" s="13">
        <v>2942.58</v>
      </c>
      <c r="D173" s="13">
        <v>2900.89</v>
      </c>
      <c r="E173" s="13">
        <v>3148.01</v>
      </c>
      <c r="F173" s="13">
        <v>2933.97</v>
      </c>
      <c r="G173" s="13">
        <v>1915.03</v>
      </c>
      <c r="H173" s="13">
        <v>688.76</v>
      </c>
      <c r="I173" s="13">
        <v>693.28</v>
      </c>
      <c r="J173" s="13">
        <v>393.19</v>
      </c>
      <c r="K173" s="13">
        <v>399.14</v>
      </c>
      <c r="L173" s="13">
        <v>196.37</v>
      </c>
      <c r="M173" s="13">
        <v>200</v>
      </c>
      <c r="N173" s="13">
        <v>196.1</v>
      </c>
      <c r="O173" s="13">
        <v>212</v>
      </c>
      <c r="P173" s="19">
        <v>0</v>
      </c>
    </row>
    <row r="174" spans="1:16" ht="15" customHeight="1" x14ac:dyDescent="0.3">
      <c r="A174" s="12" t="s">
        <v>364</v>
      </c>
      <c r="B174" s="15">
        <v>6.9</v>
      </c>
      <c r="C174" s="13">
        <v>336.7</v>
      </c>
      <c r="D174" s="15">
        <v>7.1</v>
      </c>
      <c r="E174" s="15">
        <v>6.9</v>
      </c>
      <c r="F174" s="15">
        <v>6</v>
      </c>
      <c r="G174" s="19"/>
      <c r="H174" s="19"/>
      <c r="I174" s="19"/>
      <c r="J174" s="19"/>
      <c r="K174" s="19"/>
      <c r="L174" s="19"/>
      <c r="M174" s="19"/>
      <c r="N174" s="19"/>
      <c r="O174" s="19"/>
      <c r="P174" s="19"/>
    </row>
    <row r="175" spans="1:16" ht="15" customHeight="1" x14ac:dyDescent="0.3">
      <c r="A175" s="12" t="s">
        <v>365</v>
      </c>
      <c r="B175" s="13">
        <v>585</v>
      </c>
      <c r="C175" s="13">
        <v>585</v>
      </c>
      <c r="D175" s="13">
        <v>400</v>
      </c>
      <c r="E175" s="13">
        <v>400</v>
      </c>
      <c r="F175" s="13">
        <v>210</v>
      </c>
      <c r="G175" s="19"/>
      <c r="H175" s="19"/>
      <c r="I175" s="19"/>
      <c r="J175" s="19"/>
      <c r="K175" s="19"/>
      <c r="L175" s="19"/>
      <c r="M175" s="19"/>
      <c r="N175" s="19"/>
      <c r="O175" s="19"/>
      <c r="P175" s="19"/>
    </row>
    <row r="176" spans="1:16" ht="15" customHeight="1" x14ac:dyDescent="0.3">
      <c r="A176" s="10" t="s">
        <v>366</v>
      </c>
      <c r="B176" s="11"/>
      <c r="C176" s="11"/>
      <c r="D176" s="11"/>
      <c r="E176" s="11"/>
      <c r="F176" s="11"/>
      <c r="G176" s="11"/>
      <c r="H176" s="11"/>
      <c r="I176" s="11"/>
      <c r="J176" s="11"/>
      <c r="K176" s="11"/>
      <c r="L176" s="11"/>
      <c r="M176" s="11"/>
      <c r="N176" s="11"/>
      <c r="O176" s="11"/>
      <c r="P176" s="11"/>
    </row>
    <row r="177" spans="1:16" ht="15" customHeight="1" x14ac:dyDescent="0.3">
      <c r="A177" s="12" t="s">
        <v>367</v>
      </c>
      <c r="B177" s="13">
        <v>2605.31</v>
      </c>
      <c r="C177" s="13">
        <v>2950.92</v>
      </c>
      <c r="D177" s="13">
        <v>2920.78</v>
      </c>
      <c r="E177" s="13">
        <v>3210.91</v>
      </c>
      <c r="F177" s="13">
        <v>2991.91</v>
      </c>
      <c r="G177" s="19"/>
      <c r="H177" s="13">
        <v>696.25</v>
      </c>
      <c r="I177" s="13">
        <v>701.91</v>
      </c>
      <c r="J177" s="19"/>
      <c r="K177" s="13">
        <v>402.47</v>
      </c>
      <c r="L177" s="19"/>
      <c r="M177" s="13">
        <v>200</v>
      </c>
      <c r="N177" s="19"/>
      <c r="O177" s="13">
        <v>212</v>
      </c>
      <c r="P177" s="19"/>
    </row>
    <row r="178" spans="1:16" ht="15" customHeight="1" x14ac:dyDescent="0.3">
      <c r="A178" s="14" t="s">
        <v>368</v>
      </c>
      <c r="B178" s="15">
        <v>15.61</v>
      </c>
      <c r="C178" s="15">
        <v>15.61</v>
      </c>
      <c r="D178" s="15">
        <v>18.61</v>
      </c>
      <c r="E178" s="15">
        <v>18.61</v>
      </c>
      <c r="F178" s="15">
        <v>10.61</v>
      </c>
      <c r="G178" s="19"/>
      <c r="H178" s="15">
        <v>3</v>
      </c>
      <c r="I178" s="15">
        <v>5.66</v>
      </c>
      <c r="J178" s="19"/>
      <c r="K178" s="15">
        <v>6.66</v>
      </c>
      <c r="L178" s="19"/>
      <c r="M178" s="15">
        <v>2</v>
      </c>
      <c r="N178" s="19"/>
      <c r="O178" s="15">
        <v>15.9</v>
      </c>
      <c r="P178" s="19"/>
    </row>
    <row r="179" spans="1:16" ht="15" customHeight="1" x14ac:dyDescent="0.3">
      <c r="A179" s="14" t="s">
        <v>369</v>
      </c>
      <c r="B179" s="13">
        <v>1155.27</v>
      </c>
      <c r="C179" s="13">
        <v>1067.21</v>
      </c>
      <c r="D179" s="13">
        <v>312.47000000000003</v>
      </c>
      <c r="E179" s="13">
        <v>315.47000000000003</v>
      </c>
      <c r="F179" s="15">
        <v>21.22</v>
      </c>
      <c r="G179" s="19"/>
      <c r="H179" s="15">
        <v>6</v>
      </c>
      <c r="I179" s="15">
        <v>6</v>
      </c>
      <c r="J179" s="19"/>
      <c r="K179" s="15">
        <v>13.31</v>
      </c>
      <c r="L179" s="19"/>
      <c r="M179" s="15">
        <v>4</v>
      </c>
      <c r="N179" s="19"/>
      <c r="O179" s="15">
        <v>42.4</v>
      </c>
      <c r="P179" s="19"/>
    </row>
    <row r="180" spans="1:16" ht="15" customHeight="1" x14ac:dyDescent="0.3">
      <c r="A180" s="14" t="s">
        <v>370</v>
      </c>
      <c r="B180" s="13">
        <v>1042.3599999999999</v>
      </c>
      <c r="C180" s="13">
        <v>952.67</v>
      </c>
      <c r="D180" s="13">
        <v>1155.27</v>
      </c>
      <c r="E180" s="13">
        <v>737.21</v>
      </c>
      <c r="F180" s="13">
        <v>696.47</v>
      </c>
      <c r="G180" s="19"/>
      <c r="H180" s="15">
        <v>6</v>
      </c>
      <c r="I180" s="15">
        <v>6</v>
      </c>
      <c r="J180" s="19"/>
      <c r="K180" s="13">
        <v>382.5</v>
      </c>
      <c r="L180" s="19"/>
      <c r="M180" s="15">
        <v>4</v>
      </c>
      <c r="N180" s="19"/>
      <c r="O180" s="13">
        <v>153.69999999999999</v>
      </c>
      <c r="P180" s="19"/>
    </row>
    <row r="181" spans="1:16" ht="15" customHeight="1" x14ac:dyDescent="0.3">
      <c r="A181" s="14" t="s">
        <v>371</v>
      </c>
      <c r="B181" s="13">
        <v>392.07</v>
      </c>
      <c r="C181" s="13">
        <v>915.43</v>
      </c>
      <c r="D181" s="13">
        <v>1434.43</v>
      </c>
      <c r="E181" s="13">
        <v>2139.61</v>
      </c>
      <c r="F181" s="13">
        <v>2263.6</v>
      </c>
      <c r="G181" s="19"/>
      <c r="H181" s="13">
        <v>681.25</v>
      </c>
      <c r="I181" s="13">
        <v>684.25</v>
      </c>
      <c r="J181" s="19"/>
      <c r="K181" s="19">
        <v>0</v>
      </c>
      <c r="L181" s="19"/>
      <c r="M181" s="13">
        <v>190</v>
      </c>
      <c r="N181" s="19"/>
      <c r="O181" s="19">
        <v>0</v>
      </c>
      <c r="P181" s="19"/>
    </row>
    <row r="182" spans="1:16" ht="15" customHeight="1" x14ac:dyDescent="0.3">
      <c r="A182" s="12" t="s">
        <v>372</v>
      </c>
      <c r="B182" s="13">
        <v>1155.27</v>
      </c>
      <c r="C182" s="13">
        <v>1067.21</v>
      </c>
      <c r="D182" s="13">
        <v>312.47000000000003</v>
      </c>
      <c r="E182" s="13">
        <v>315.47000000000003</v>
      </c>
      <c r="F182" s="15">
        <v>21.22</v>
      </c>
      <c r="G182" s="19"/>
      <c r="H182" s="15">
        <v>6</v>
      </c>
      <c r="I182" s="15">
        <v>6</v>
      </c>
      <c r="J182" s="19"/>
      <c r="K182" s="15">
        <v>13.31</v>
      </c>
      <c r="L182" s="19"/>
      <c r="M182" s="15">
        <v>4</v>
      </c>
      <c r="N182" s="19"/>
      <c r="O182" s="15">
        <v>42.4</v>
      </c>
      <c r="P182" s="19"/>
    </row>
    <row r="183" spans="1:16" ht="15" customHeight="1" x14ac:dyDescent="0.3">
      <c r="A183" s="12" t="s">
        <v>373</v>
      </c>
      <c r="B183" s="13">
        <v>1042.3599999999999</v>
      </c>
      <c r="C183" s="13">
        <v>952.67</v>
      </c>
      <c r="D183" s="13">
        <v>1155.27</v>
      </c>
      <c r="E183" s="13">
        <v>737.21</v>
      </c>
      <c r="F183" s="13">
        <v>696.47</v>
      </c>
      <c r="G183" s="19"/>
      <c r="H183" s="15">
        <v>6</v>
      </c>
      <c r="I183" s="15">
        <v>6</v>
      </c>
      <c r="J183" s="19"/>
      <c r="K183" s="13">
        <v>382.5</v>
      </c>
      <c r="L183" s="19"/>
      <c r="M183" s="15">
        <v>4</v>
      </c>
      <c r="N183" s="19"/>
      <c r="O183" s="13">
        <v>153.69999999999999</v>
      </c>
      <c r="P183" s="19"/>
    </row>
    <row r="184" spans="1:16" ht="15" customHeight="1" x14ac:dyDescent="0.3">
      <c r="A184" s="12" t="s">
        <v>374</v>
      </c>
      <c r="B184" s="13">
        <v>392.07</v>
      </c>
      <c r="C184" s="13">
        <v>915.43</v>
      </c>
      <c r="D184" s="13">
        <v>1434.43</v>
      </c>
      <c r="E184" s="13">
        <v>2139.61</v>
      </c>
      <c r="F184" s="13">
        <v>2263.6</v>
      </c>
      <c r="G184" s="19"/>
      <c r="H184" s="13">
        <v>681.25</v>
      </c>
      <c r="I184" s="13">
        <v>684.25</v>
      </c>
      <c r="J184" s="19"/>
      <c r="K184" s="19">
        <v>0</v>
      </c>
      <c r="L184" s="19"/>
      <c r="M184" s="13">
        <v>190</v>
      </c>
      <c r="N184" s="19"/>
      <c r="O184" s="19">
        <v>0</v>
      </c>
      <c r="P184" s="19"/>
    </row>
    <row r="185" spans="1:16" ht="15" customHeight="1" x14ac:dyDescent="0.3">
      <c r="A185" s="10" t="s">
        <v>375</v>
      </c>
      <c r="B185" s="11"/>
      <c r="C185" s="11"/>
      <c r="D185" s="11"/>
      <c r="E185" s="11"/>
      <c r="F185" s="11"/>
      <c r="G185" s="11"/>
      <c r="H185" s="11"/>
      <c r="I185" s="11"/>
      <c r="J185" s="11"/>
      <c r="K185" s="11"/>
      <c r="L185" s="11"/>
      <c r="M185" s="11"/>
      <c r="N185" s="11"/>
      <c r="O185" s="11"/>
      <c r="P185" s="11"/>
    </row>
    <row r="186" spans="1:16" ht="15" customHeight="1" x14ac:dyDescent="0.3">
      <c r="A186" s="12" t="s">
        <v>376</v>
      </c>
      <c r="B186" s="15">
        <v>31.02</v>
      </c>
      <c r="C186" s="15">
        <v>30.15</v>
      </c>
      <c r="D186" s="15">
        <v>28.49</v>
      </c>
      <c r="E186" s="19"/>
      <c r="F186" s="19"/>
      <c r="G186" s="19"/>
      <c r="H186" s="19"/>
      <c r="I186" s="19"/>
      <c r="J186" s="19"/>
      <c r="K186" s="19"/>
      <c r="L186" s="19"/>
      <c r="M186" s="19"/>
      <c r="N186" s="19"/>
      <c r="O186" s="19"/>
      <c r="P186" s="19"/>
    </row>
    <row r="187" spans="1:16" ht="15" customHeight="1" x14ac:dyDescent="0.3">
      <c r="A187" s="14" t="s">
        <v>377</v>
      </c>
      <c r="B187" s="15">
        <v>1.78</v>
      </c>
      <c r="C187" s="15">
        <v>1.3</v>
      </c>
      <c r="D187" s="15">
        <v>0.43</v>
      </c>
      <c r="E187" s="19"/>
      <c r="F187" s="19"/>
      <c r="G187" s="19"/>
      <c r="H187" s="19"/>
      <c r="I187" s="19"/>
      <c r="J187" s="19"/>
      <c r="K187" s="19"/>
      <c r="L187" s="19"/>
      <c r="M187" s="19"/>
      <c r="N187" s="19"/>
      <c r="O187" s="19"/>
      <c r="P187" s="19"/>
    </row>
    <row r="188" spans="1:16" ht="15" customHeight="1" x14ac:dyDescent="0.3">
      <c r="A188" s="14" t="s">
        <v>378</v>
      </c>
      <c r="B188" s="15">
        <v>1.82</v>
      </c>
      <c r="C188" s="15">
        <v>1.78</v>
      </c>
      <c r="D188" s="15">
        <v>1.3</v>
      </c>
      <c r="E188" s="19"/>
      <c r="F188" s="19"/>
      <c r="G188" s="19"/>
      <c r="H188" s="19"/>
      <c r="I188" s="19"/>
      <c r="J188" s="19"/>
      <c r="K188" s="19"/>
      <c r="L188" s="19"/>
      <c r="M188" s="19"/>
      <c r="N188" s="19"/>
      <c r="O188" s="19"/>
      <c r="P188" s="19"/>
    </row>
    <row r="189" spans="1:16" ht="15" customHeight="1" x14ac:dyDescent="0.3">
      <c r="A189" s="14" t="s">
        <v>379</v>
      </c>
      <c r="B189" s="15">
        <v>1.88</v>
      </c>
      <c r="C189" s="15">
        <v>1.82</v>
      </c>
      <c r="D189" s="15">
        <v>1.78</v>
      </c>
      <c r="E189" s="19"/>
      <c r="F189" s="19"/>
      <c r="G189" s="19"/>
      <c r="H189" s="19"/>
      <c r="I189" s="19"/>
      <c r="J189" s="19"/>
      <c r="K189" s="19"/>
      <c r="L189" s="19"/>
      <c r="M189" s="19"/>
      <c r="N189" s="19"/>
      <c r="O189" s="19"/>
      <c r="P189" s="19"/>
    </row>
    <row r="190" spans="1:16" ht="15" customHeight="1" x14ac:dyDescent="0.3">
      <c r="A190" s="14" t="s">
        <v>380</v>
      </c>
      <c r="B190" s="15">
        <v>1.93</v>
      </c>
      <c r="C190" s="15">
        <v>1.88</v>
      </c>
      <c r="D190" s="15">
        <v>1.82</v>
      </c>
      <c r="E190" s="19"/>
      <c r="F190" s="19"/>
      <c r="G190" s="19"/>
      <c r="H190" s="19"/>
      <c r="I190" s="19"/>
      <c r="J190" s="19"/>
      <c r="K190" s="19"/>
      <c r="L190" s="19"/>
      <c r="M190" s="19"/>
      <c r="N190" s="19"/>
      <c r="O190" s="19"/>
      <c r="P190" s="19"/>
    </row>
    <row r="191" spans="1:16" ht="15" customHeight="1" x14ac:dyDescent="0.3">
      <c r="A191" s="14" t="s">
        <v>381</v>
      </c>
      <c r="B191" s="15">
        <v>1.98</v>
      </c>
      <c r="C191" s="15">
        <v>1.93</v>
      </c>
      <c r="D191" s="15">
        <v>1.88</v>
      </c>
      <c r="E191" s="19"/>
      <c r="F191" s="19"/>
      <c r="G191" s="19"/>
      <c r="H191" s="19"/>
      <c r="I191" s="19"/>
      <c r="J191" s="19"/>
      <c r="K191" s="19"/>
      <c r="L191" s="19"/>
      <c r="M191" s="19"/>
      <c r="N191" s="19"/>
      <c r="O191" s="19"/>
      <c r="P191" s="19"/>
    </row>
    <row r="192" spans="1:16" ht="15" customHeight="1" x14ac:dyDescent="0.3">
      <c r="A192" s="14" t="s">
        <v>382</v>
      </c>
      <c r="B192" s="15">
        <v>88.15</v>
      </c>
      <c r="C192" s="15">
        <v>90.12</v>
      </c>
      <c r="D192" s="15">
        <v>92.05</v>
      </c>
      <c r="E192" s="19"/>
      <c r="F192" s="19"/>
      <c r="G192" s="19"/>
      <c r="H192" s="19"/>
      <c r="I192" s="19"/>
      <c r="J192" s="19"/>
      <c r="K192" s="19"/>
      <c r="L192" s="19"/>
      <c r="M192" s="19"/>
      <c r="N192" s="19"/>
      <c r="O192" s="19"/>
      <c r="P192" s="19"/>
    </row>
    <row r="193" spans="1:16" ht="15" customHeight="1" x14ac:dyDescent="0.3">
      <c r="A193" s="14" t="s">
        <v>383</v>
      </c>
      <c r="B193" s="15">
        <v>66.5</v>
      </c>
      <c r="C193" s="15">
        <v>68.680000000000007</v>
      </c>
      <c r="D193" s="15">
        <v>70.760000000000005</v>
      </c>
      <c r="E193" s="19"/>
      <c r="F193" s="19"/>
      <c r="G193" s="19"/>
      <c r="H193" s="19"/>
      <c r="I193" s="19"/>
      <c r="J193" s="19"/>
      <c r="K193" s="19"/>
      <c r="L193" s="19"/>
      <c r="M193" s="19"/>
      <c r="N193" s="19"/>
      <c r="O193" s="19"/>
      <c r="P193" s="19"/>
    </row>
    <row r="194" spans="1:16" ht="15" customHeight="1" x14ac:dyDescent="0.3">
      <c r="A194" s="12" t="s">
        <v>384</v>
      </c>
      <c r="B194" s="15">
        <v>3.7</v>
      </c>
      <c r="C194" s="15">
        <v>3.6</v>
      </c>
      <c r="D194" s="15">
        <v>3.08</v>
      </c>
      <c r="E194" s="19"/>
      <c r="F194" s="19"/>
      <c r="G194" s="19"/>
      <c r="H194" s="19"/>
      <c r="I194" s="19"/>
      <c r="J194" s="19"/>
      <c r="K194" s="19"/>
      <c r="L194" s="19"/>
      <c r="M194" s="19"/>
      <c r="N194" s="19"/>
      <c r="O194" s="19"/>
      <c r="P194" s="19"/>
    </row>
    <row r="195" spans="1:16" ht="15" customHeight="1" x14ac:dyDescent="0.3">
      <c r="A195" s="12" t="s">
        <v>385</v>
      </c>
      <c r="B195" s="15">
        <v>3.91</v>
      </c>
      <c r="C195" s="15">
        <v>3.8</v>
      </c>
      <c r="D195" s="15">
        <v>3.7</v>
      </c>
      <c r="E195" s="19"/>
      <c r="F195" s="19"/>
      <c r="G195" s="19"/>
      <c r="H195" s="19"/>
      <c r="I195" s="19"/>
      <c r="J195" s="19"/>
      <c r="K195" s="19"/>
      <c r="L195" s="19"/>
      <c r="M195" s="19"/>
      <c r="N195" s="19"/>
      <c r="O195" s="19"/>
      <c r="P195" s="19"/>
    </row>
    <row r="196" spans="1:16" ht="15" customHeight="1" x14ac:dyDescent="0.3">
      <c r="A196" s="12" t="s">
        <v>386</v>
      </c>
      <c r="B196" s="15">
        <v>88.15</v>
      </c>
      <c r="C196" s="15">
        <v>90.12</v>
      </c>
      <c r="D196" s="15">
        <v>92.05</v>
      </c>
      <c r="E196" s="19"/>
      <c r="F196" s="19"/>
      <c r="G196" s="19"/>
      <c r="H196" s="19"/>
      <c r="I196" s="19"/>
      <c r="J196" s="19"/>
      <c r="K196" s="19"/>
      <c r="L196" s="19"/>
      <c r="M196" s="19"/>
      <c r="N196" s="19"/>
      <c r="O196" s="19"/>
      <c r="P196" s="19"/>
    </row>
    <row r="197" spans="1:16" ht="15" customHeight="1" x14ac:dyDescent="0.3">
      <c r="A197" s="10" t="s">
        <v>387</v>
      </c>
      <c r="B197" s="11"/>
      <c r="C197" s="11"/>
      <c r="D197" s="11"/>
      <c r="E197" s="11"/>
      <c r="F197" s="11"/>
      <c r="G197" s="11"/>
      <c r="H197" s="11"/>
      <c r="I197" s="11"/>
      <c r="J197" s="11"/>
      <c r="K197" s="11"/>
      <c r="L197" s="11"/>
      <c r="M197" s="11"/>
      <c r="N197" s="11"/>
      <c r="O197" s="11"/>
      <c r="P197" s="11"/>
    </row>
    <row r="198" spans="1:16" ht="15" customHeight="1" x14ac:dyDescent="0.3">
      <c r="A198" s="12" t="s">
        <v>388</v>
      </c>
      <c r="B198" s="15">
        <v>7.37</v>
      </c>
      <c r="C198" s="15">
        <v>7.41</v>
      </c>
      <c r="D198" s="15">
        <v>8.2200000000000006</v>
      </c>
      <c r="E198" s="15">
        <v>8.35</v>
      </c>
      <c r="F198" s="15">
        <v>7.64</v>
      </c>
      <c r="G198" s="19"/>
      <c r="H198" s="19"/>
      <c r="I198" s="19"/>
      <c r="J198" s="19"/>
      <c r="K198" s="19"/>
      <c r="L198" s="19"/>
      <c r="M198" s="19"/>
      <c r="N198" s="19"/>
      <c r="O198" s="19"/>
      <c r="P198" s="19"/>
    </row>
    <row r="199" spans="1:16" ht="15" customHeight="1" x14ac:dyDescent="0.3">
      <c r="A199" s="12" t="s">
        <v>389</v>
      </c>
      <c r="B199" s="15">
        <v>33.5</v>
      </c>
      <c r="C199" s="15">
        <v>34.5</v>
      </c>
      <c r="D199" s="15">
        <v>35.5</v>
      </c>
      <c r="E199" s="19"/>
      <c r="F199" s="19"/>
      <c r="G199" s="19"/>
      <c r="H199" s="19"/>
      <c r="I199" s="19"/>
      <c r="J199" s="19"/>
      <c r="K199" s="19"/>
      <c r="L199" s="19"/>
      <c r="M199" s="19"/>
      <c r="N199" s="19"/>
      <c r="O199" s="19"/>
      <c r="P199" s="19"/>
    </row>
    <row r="200" spans="1:16" ht="15" customHeight="1" x14ac:dyDescent="0.3">
      <c r="A200" s="12" t="s">
        <v>390</v>
      </c>
      <c r="B200" s="28">
        <v>0</v>
      </c>
      <c r="C200" s="28">
        <v>0</v>
      </c>
      <c r="D200" s="28">
        <v>0</v>
      </c>
      <c r="E200" s="28">
        <v>0</v>
      </c>
      <c r="F200" s="28">
        <v>0</v>
      </c>
      <c r="G200" s="28"/>
      <c r="H200" s="28"/>
      <c r="I200" s="28"/>
      <c r="J200" s="28"/>
      <c r="K200" s="28"/>
      <c r="L200" s="28"/>
      <c r="M200" s="28"/>
      <c r="N200" s="28"/>
      <c r="O200" s="28"/>
      <c r="P200" s="28"/>
    </row>
    <row r="201" spans="1:16" ht="15" customHeight="1" x14ac:dyDescent="0.3">
      <c r="A201" s="12" t="s">
        <v>391</v>
      </c>
      <c r="B201" s="28">
        <v>0</v>
      </c>
      <c r="C201" s="28">
        <v>0</v>
      </c>
      <c r="D201" s="28">
        <v>0</v>
      </c>
      <c r="E201" s="28"/>
      <c r="F201" s="28"/>
      <c r="G201" s="28"/>
      <c r="H201" s="28"/>
      <c r="I201" s="28"/>
      <c r="J201" s="28"/>
      <c r="K201" s="28"/>
      <c r="L201" s="28"/>
      <c r="M201" s="28"/>
      <c r="N201" s="28"/>
      <c r="O201" s="28"/>
      <c r="P201" s="28"/>
    </row>
    <row r="202" spans="1:16" ht="15" customHeight="1" x14ac:dyDescent="0.3">
      <c r="A202" s="10" t="s">
        <v>206</v>
      </c>
      <c r="B202" s="11"/>
      <c r="C202" s="11"/>
      <c r="D202" s="11"/>
      <c r="E202" s="11"/>
      <c r="F202" s="11"/>
      <c r="G202" s="11"/>
      <c r="H202" s="11"/>
      <c r="I202" s="11"/>
      <c r="J202" s="11"/>
      <c r="K202" s="11"/>
      <c r="L202" s="11"/>
      <c r="M202" s="11"/>
      <c r="N202" s="11"/>
      <c r="O202" s="11"/>
      <c r="P202" s="11"/>
    </row>
    <row r="203" spans="1:16" ht="15" customHeight="1" x14ac:dyDescent="0.3">
      <c r="A203" s="12" t="s">
        <v>392</v>
      </c>
      <c r="B203" s="15">
        <v>18.16</v>
      </c>
      <c r="C203" s="15">
        <v>12.18</v>
      </c>
      <c r="D203" s="15">
        <v>18.18</v>
      </c>
      <c r="E203" s="15">
        <v>20</v>
      </c>
      <c r="F203" s="15">
        <v>14.1</v>
      </c>
      <c r="G203" s="15">
        <v>10.7</v>
      </c>
      <c r="H203" s="15">
        <v>11.46</v>
      </c>
      <c r="I203" s="19"/>
      <c r="J203" s="19"/>
      <c r="K203" s="19"/>
      <c r="L203" s="19"/>
      <c r="M203" s="19"/>
      <c r="N203" s="19"/>
      <c r="O203" s="19"/>
      <c r="P203" s="19"/>
    </row>
    <row r="204" spans="1:16" ht="15" customHeight="1" x14ac:dyDescent="0.3">
      <c r="A204" s="12" t="s">
        <v>393</v>
      </c>
      <c r="B204" s="19"/>
      <c r="C204" s="19"/>
      <c r="D204" s="19"/>
      <c r="E204" s="19"/>
      <c r="F204" s="19"/>
      <c r="G204" s="19"/>
      <c r="H204" s="19">
        <v>0</v>
      </c>
      <c r="I204" s="15">
        <v>0.63</v>
      </c>
      <c r="J204" s="19">
        <v>0</v>
      </c>
      <c r="K204" s="19">
        <v>0</v>
      </c>
      <c r="L204" s="15">
        <v>1.66</v>
      </c>
      <c r="M204" s="15">
        <v>1.96</v>
      </c>
      <c r="N204" s="15">
        <v>2.21</v>
      </c>
      <c r="O204" s="15">
        <v>2.48</v>
      </c>
      <c r="P204" s="15">
        <v>2.63</v>
      </c>
    </row>
    <row r="205" spans="1:16" ht="15" customHeight="1" x14ac:dyDescent="0.3">
      <c r="A205" s="12" t="s">
        <v>394</v>
      </c>
      <c r="B205" s="13">
        <v>123.77</v>
      </c>
      <c r="C205" s="13">
        <v>162.96</v>
      </c>
      <c r="D205" s="13">
        <v>140.91</v>
      </c>
      <c r="E205" s="13">
        <v>124.18</v>
      </c>
      <c r="F205" s="13">
        <v>1159.71</v>
      </c>
      <c r="G205" s="13">
        <v>298.92</v>
      </c>
      <c r="H205" s="13">
        <v>170.94</v>
      </c>
      <c r="I205" s="13">
        <v>246.05</v>
      </c>
      <c r="J205" s="13">
        <v>107.41</v>
      </c>
      <c r="K205" s="15">
        <v>74.75</v>
      </c>
      <c r="L205" s="15">
        <v>22.83</v>
      </c>
      <c r="M205" s="15">
        <v>67.680000000000007</v>
      </c>
      <c r="N205" s="15">
        <v>14.03</v>
      </c>
      <c r="O205" s="15">
        <v>72.47</v>
      </c>
      <c r="P205" s="15">
        <v>19.170000000000002</v>
      </c>
    </row>
    <row r="206" spans="1:16" ht="15" customHeight="1" x14ac:dyDescent="0.3">
      <c r="A206" s="12" t="s">
        <v>395</v>
      </c>
      <c r="B206" s="13">
        <v>3206.15</v>
      </c>
      <c r="C206" s="13">
        <v>3406.23</v>
      </c>
      <c r="D206" s="13">
        <v>3492.4</v>
      </c>
      <c r="E206" s="13">
        <v>3678.71</v>
      </c>
      <c r="F206" s="13">
        <v>3080.15</v>
      </c>
      <c r="G206" s="13">
        <v>2304.21</v>
      </c>
      <c r="H206" s="13">
        <v>1194.03</v>
      </c>
      <c r="I206" s="13">
        <v>1224.9000000000001</v>
      </c>
      <c r="J206" s="13">
        <v>1025.77</v>
      </c>
      <c r="K206" s="13">
        <v>987.01</v>
      </c>
      <c r="L206" s="13">
        <v>766.38</v>
      </c>
      <c r="M206" s="13">
        <v>716.91</v>
      </c>
      <c r="N206" s="13">
        <v>760.16</v>
      </c>
      <c r="O206" s="13">
        <v>814.05</v>
      </c>
      <c r="P206" s="13">
        <v>622.62</v>
      </c>
    </row>
    <row r="207" spans="1:16" ht="15" customHeight="1" x14ac:dyDescent="0.3">
      <c r="A207" s="12" t="s">
        <v>396</v>
      </c>
      <c r="B207" s="15">
        <v>23.85</v>
      </c>
      <c r="C207" s="15">
        <v>35.32</v>
      </c>
      <c r="D207" s="15">
        <v>18.03</v>
      </c>
      <c r="E207" s="15">
        <v>66.22</v>
      </c>
      <c r="F207" s="13">
        <v>576.02</v>
      </c>
      <c r="G207" s="15">
        <v>32.97</v>
      </c>
      <c r="H207" s="13">
        <v>102.01</v>
      </c>
      <c r="I207" s="13">
        <v>148.69999999999999</v>
      </c>
      <c r="J207" s="13">
        <v>134.35</v>
      </c>
      <c r="K207" s="13">
        <v>108.06</v>
      </c>
      <c r="L207" s="13">
        <v>158.46</v>
      </c>
      <c r="M207" s="13">
        <v>221.26</v>
      </c>
      <c r="N207" s="13">
        <v>242.64</v>
      </c>
      <c r="O207" s="13">
        <v>127.89</v>
      </c>
      <c r="P207" s="13">
        <v>204.92</v>
      </c>
    </row>
    <row r="208" spans="1:16" ht="15" customHeight="1" x14ac:dyDescent="0.3">
      <c r="A208" s="12" t="s">
        <v>397</v>
      </c>
      <c r="B208" s="15">
        <v>23.85</v>
      </c>
      <c r="C208" s="15">
        <v>35.32</v>
      </c>
      <c r="D208" s="15">
        <v>18.03</v>
      </c>
      <c r="E208" s="15">
        <v>66.22</v>
      </c>
      <c r="F208" s="13">
        <v>576.02</v>
      </c>
      <c r="G208" s="15">
        <v>32.97</v>
      </c>
      <c r="H208" s="13">
        <v>102.01</v>
      </c>
      <c r="I208" s="13">
        <v>148.69999999999999</v>
      </c>
      <c r="J208" s="13">
        <v>134.35</v>
      </c>
      <c r="K208" s="13">
        <v>108.06</v>
      </c>
      <c r="L208" s="13">
        <v>158.46</v>
      </c>
      <c r="M208" s="13">
        <v>221.26</v>
      </c>
      <c r="N208" s="13">
        <v>242.64</v>
      </c>
      <c r="O208" s="13">
        <v>127.89</v>
      </c>
      <c r="P208" s="13">
        <v>204.92</v>
      </c>
    </row>
    <row r="209" spans="1:16" ht="15" customHeight="1" x14ac:dyDescent="0.3">
      <c r="A209" s="12" t="s">
        <v>398</v>
      </c>
      <c r="B209" s="13">
        <v>3024.05</v>
      </c>
      <c r="C209" s="13">
        <v>3357.13</v>
      </c>
      <c r="D209" s="13">
        <v>3313.14</v>
      </c>
      <c r="E209" s="13">
        <v>3557.94</v>
      </c>
      <c r="F209" s="13">
        <v>2933.97</v>
      </c>
      <c r="G209" s="13">
        <v>1915.03</v>
      </c>
      <c r="H209" s="13">
        <v>688.76</v>
      </c>
      <c r="I209" s="13">
        <v>693.91</v>
      </c>
      <c r="J209" s="13">
        <v>393.19</v>
      </c>
      <c r="K209" s="13">
        <v>399.14</v>
      </c>
      <c r="L209" s="13">
        <v>198.03</v>
      </c>
      <c r="M209" s="13">
        <v>201.96</v>
      </c>
      <c r="N209" s="13">
        <v>198.31</v>
      </c>
      <c r="O209" s="13">
        <v>214.48</v>
      </c>
      <c r="P209" s="15">
        <v>2.63</v>
      </c>
    </row>
    <row r="210" spans="1:16" ht="15" customHeight="1" x14ac:dyDescent="0.3">
      <c r="A210" s="12" t="s">
        <v>399</v>
      </c>
      <c r="B210" s="15">
        <v>8.8800000000000008</v>
      </c>
      <c r="C210" s="15">
        <v>23.27</v>
      </c>
      <c r="D210" s="15">
        <v>23.14</v>
      </c>
      <c r="E210" s="15">
        <v>21.63</v>
      </c>
      <c r="F210" s="15">
        <v>14.4</v>
      </c>
      <c r="G210" s="15">
        <v>8.3800000000000008</v>
      </c>
      <c r="H210" s="15">
        <v>7.16</v>
      </c>
      <c r="I210" s="15">
        <v>7.7</v>
      </c>
      <c r="J210" s="15">
        <v>14.22</v>
      </c>
      <c r="K210" s="15">
        <v>13.86</v>
      </c>
      <c r="L210" s="15">
        <v>9.4499999999999993</v>
      </c>
      <c r="M210" s="15">
        <v>16.57</v>
      </c>
      <c r="N210" s="15">
        <v>21.12</v>
      </c>
      <c r="O210" s="15">
        <v>23.21</v>
      </c>
      <c r="P210" s="15">
        <v>10.65</v>
      </c>
    </row>
    <row r="211" spans="1:16" ht="15" customHeight="1" x14ac:dyDescent="0.3">
      <c r="A211" s="12" t="s">
        <v>400</v>
      </c>
      <c r="B211" s="13">
        <v>3901.36</v>
      </c>
      <c r="C211" s="13">
        <v>4063.45</v>
      </c>
      <c r="D211" s="13">
        <v>5013.6899999999996</v>
      </c>
      <c r="E211" s="13">
        <v>5052.22</v>
      </c>
      <c r="F211" s="13">
        <v>3521.22</v>
      </c>
      <c r="G211" s="13">
        <v>2780</v>
      </c>
      <c r="H211" s="13">
        <v>1512.92</v>
      </c>
      <c r="I211" s="13">
        <v>1482.06</v>
      </c>
      <c r="J211" s="13">
        <v>1204.77</v>
      </c>
      <c r="K211" s="13">
        <v>1192.07</v>
      </c>
      <c r="L211" s="13">
        <v>557.85</v>
      </c>
      <c r="M211" s="13">
        <v>526.48</v>
      </c>
      <c r="N211" s="13">
        <v>493.37</v>
      </c>
      <c r="O211" s="13">
        <v>601.11</v>
      </c>
      <c r="P211" s="13">
        <v>386.61</v>
      </c>
    </row>
    <row r="212" spans="1:16" ht="15" customHeight="1" x14ac:dyDescent="0.3">
      <c r="A212" s="12" t="s">
        <v>401</v>
      </c>
      <c r="B212" s="13">
        <v>3901.36</v>
      </c>
      <c r="C212" s="13">
        <v>4063.45</v>
      </c>
      <c r="D212" s="13">
        <v>5013.6899999999996</v>
      </c>
      <c r="E212" s="13">
        <v>5052.22</v>
      </c>
      <c r="F212" s="13">
        <v>3521.22</v>
      </c>
      <c r="G212" s="13">
        <v>2780</v>
      </c>
      <c r="H212" s="13">
        <v>1512.92</v>
      </c>
      <c r="I212" s="13">
        <v>1482.06</v>
      </c>
      <c r="J212" s="13">
        <v>1204.77</v>
      </c>
      <c r="K212" s="13">
        <v>1192.07</v>
      </c>
      <c r="L212" s="13">
        <v>557.85</v>
      </c>
      <c r="M212" s="13">
        <v>526.48</v>
      </c>
      <c r="N212" s="13">
        <v>493.37</v>
      </c>
      <c r="O212" s="13">
        <v>601.11</v>
      </c>
      <c r="P212" s="13">
        <v>386.61</v>
      </c>
    </row>
    <row r="213" spans="1:16" ht="15" customHeight="1" x14ac:dyDescent="0.3">
      <c r="A213" s="12" t="s">
        <v>402</v>
      </c>
      <c r="B213" s="13">
        <v>393.84</v>
      </c>
      <c r="C213" s="13">
        <v>410.3</v>
      </c>
      <c r="D213" s="13">
        <v>474.65</v>
      </c>
      <c r="E213" s="13">
        <v>488.78</v>
      </c>
      <c r="F213" s="13">
        <v>281.70999999999998</v>
      </c>
      <c r="G213" s="13">
        <v>229.5</v>
      </c>
      <c r="H213" s="13">
        <v>243.75</v>
      </c>
      <c r="I213" s="13">
        <v>225.93</v>
      </c>
      <c r="J213" s="13">
        <v>251.14</v>
      </c>
      <c r="K213" s="13">
        <v>238.77</v>
      </c>
      <c r="L213" s="13">
        <v>152.34</v>
      </c>
      <c r="M213" s="15">
        <v>81.78</v>
      </c>
      <c r="N213" s="13">
        <v>133.15</v>
      </c>
      <c r="O213" s="15">
        <v>94.09</v>
      </c>
      <c r="P213" s="15">
        <v>62.15</v>
      </c>
    </row>
    <row r="214" spans="1:16" ht="15" customHeight="1" x14ac:dyDescent="0.3">
      <c r="A214" s="12" t="s">
        <v>403</v>
      </c>
      <c r="B214" s="13">
        <v>901.16</v>
      </c>
      <c r="C214" s="13">
        <v>741.63</v>
      </c>
      <c r="D214" s="13">
        <v>1718.58</v>
      </c>
      <c r="E214" s="13">
        <v>1560.5</v>
      </c>
      <c r="F214" s="13">
        <v>1163.27</v>
      </c>
      <c r="G214" s="13">
        <v>897.94</v>
      </c>
      <c r="H214" s="13">
        <v>926.17</v>
      </c>
      <c r="I214" s="13">
        <v>936.85</v>
      </c>
      <c r="J214" s="13">
        <v>945.94</v>
      </c>
      <c r="K214" s="13">
        <v>900.98</v>
      </c>
      <c r="L214" s="13">
        <v>518.28</v>
      </c>
      <c r="M214" s="13">
        <v>545.77</v>
      </c>
      <c r="N214" s="13">
        <v>537.70000000000005</v>
      </c>
      <c r="O214" s="13">
        <v>514.52</v>
      </c>
      <c r="P214" s="13">
        <v>588.9</v>
      </c>
    </row>
    <row r="215" spans="1:16" ht="15" customHeight="1" x14ac:dyDescent="0.3">
      <c r="A215" s="12" t="s">
        <v>404</v>
      </c>
      <c r="B215" s="22">
        <v>-2286.0500000000002</v>
      </c>
      <c r="C215" s="22">
        <v>-2539.5700000000002</v>
      </c>
      <c r="D215" s="22">
        <v>-2611</v>
      </c>
      <c r="E215" s="22">
        <v>-2853.26</v>
      </c>
      <c r="F215" s="22">
        <v>-1015.39</v>
      </c>
      <c r="G215" s="22">
        <v>-1387.42</v>
      </c>
      <c r="H215" s="22">
        <v>-386.8</v>
      </c>
      <c r="I215" s="22">
        <v>-244.44</v>
      </c>
      <c r="J215" s="23">
        <v>-42.4</v>
      </c>
      <c r="K215" s="22">
        <v>-163.99</v>
      </c>
      <c r="L215" s="13">
        <v>226.41</v>
      </c>
      <c r="M215" s="13">
        <v>381.91</v>
      </c>
      <c r="N215" s="13">
        <v>367.16</v>
      </c>
      <c r="O215" s="13">
        <v>336.55</v>
      </c>
      <c r="P215" s="13">
        <v>568.41999999999996</v>
      </c>
    </row>
    <row r="216" spans="1:16" ht="15" customHeight="1" x14ac:dyDescent="0.3">
      <c r="A216" s="12" t="s">
        <v>405</v>
      </c>
      <c r="B216" s="22">
        <v>-2702.9</v>
      </c>
      <c r="C216" s="22">
        <v>-2954.12</v>
      </c>
      <c r="D216" s="22">
        <v>-3023.25</v>
      </c>
      <c r="E216" s="22">
        <v>-3263.2</v>
      </c>
      <c r="F216" s="22">
        <v>-1015.39</v>
      </c>
      <c r="G216" s="22">
        <v>-1387.42</v>
      </c>
      <c r="H216" s="22">
        <v>-386.8</v>
      </c>
      <c r="I216" s="22">
        <v>-245.07</v>
      </c>
      <c r="J216" s="23">
        <v>-42.4</v>
      </c>
      <c r="K216" s="22">
        <v>-163.99</v>
      </c>
      <c r="L216" s="13">
        <v>224.76</v>
      </c>
      <c r="M216" s="13">
        <v>379.95</v>
      </c>
      <c r="N216" s="13">
        <v>364.95</v>
      </c>
      <c r="O216" s="13">
        <v>334.07</v>
      </c>
      <c r="P216" s="13">
        <v>565.79</v>
      </c>
    </row>
    <row r="217" spans="1:16" ht="15" customHeight="1" x14ac:dyDescent="0.3">
      <c r="A217" s="12" t="s">
        <v>406</v>
      </c>
      <c r="B217" s="13">
        <v>3508.35</v>
      </c>
      <c r="C217" s="13">
        <v>3684.22</v>
      </c>
      <c r="D217" s="13">
        <v>4619.4799999999996</v>
      </c>
      <c r="E217" s="13">
        <v>4708.5</v>
      </c>
      <c r="F217" s="13">
        <v>4097.24</v>
      </c>
      <c r="G217" s="13">
        <v>2812.97</v>
      </c>
      <c r="H217" s="13">
        <v>1614.93</v>
      </c>
      <c r="I217" s="13">
        <v>1630.13</v>
      </c>
      <c r="J217" s="13">
        <v>1339.12</v>
      </c>
      <c r="K217" s="13">
        <v>1300.1300000000001</v>
      </c>
      <c r="L217" s="13">
        <v>714.65</v>
      </c>
      <c r="M217" s="13">
        <v>745.77</v>
      </c>
      <c r="N217" s="13">
        <v>733.8</v>
      </c>
      <c r="O217" s="13">
        <v>726.52</v>
      </c>
      <c r="P217" s="13">
        <v>588.9</v>
      </c>
    </row>
    <row r="218" spans="1:16" ht="15" customHeight="1" x14ac:dyDescent="0.3">
      <c r="A218" s="12" t="s">
        <v>407</v>
      </c>
      <c r="B218" s="13">
        <v>3925.21</v>
      </c>
      <c r="C218" s="13">
        <v>4098.7700000000004</v>
      </c>
      <c r="D218" s="13">
        <v>5031.72</v>
      </c>
      <c r="E218" s="13">
        <v>5118.4399999999996</v>
      </c>
      <c r="F218" s="13">
        <v>4097.24</v>
      </c>
      <c r="G218" s="13">
        <v>2812.97</v>
      </c>
      <c r="H218" s="13">
        <v>1614.93</v>
      </c>
      <c r="I218" s="13">
        <v>1630.76</v>
      </c>
      <c r="J218" s="13">
        <v>1339.12</v>
      </c>
      <c r="K218" s="13">
        <v>1300.1300000000001</v>
      </c>
      <c r="L218" s="13">
        <v>716.31</v>
      </c>
      <c r="M218" s="13">
        <v>747.74</v>
      </c>
      <c r="N218" s="13">
        <v>736.01</v>
      </c>
      <c r="O218" s="13">
        <v>729</v>
      </c>
      <c r="P218" s="13">
        <v>591.53</v>
      </c>
    </row>
    <row r="219" spans="1:16" ht="15" customHeight="1" x14ac:dyDescent="0.3">
      <c r="A219" s="12" t="s">
        <v>408</v>
      </c>
      <c r="B219" s="13">
        <v>4716.18</v>
      </c>
      <c r="C219" s="13">
        <v>4932.3</v>
      </c>
      <c r="D219" s="13">
        <v>5946</v>
      </c>
      <c r="E219" s="13">
        <v>6146.43</v>
      </c>
      <c r="F219" s="13">
        <v>4500.93</v>
      </c>
      <c r="G219" s="13">
        <v>3249.83</v>
      </c>
      <c r="H219" s="13">
        <v>1932</v>
      </c>
      <c r="I219" s="13">
        <v>1918.76</v>
      </c>
      <c r="J219" s="13">
        <v>1631.78</v>
      </c>
      <c r="K219" s="13">
        <v>1561.04</v>
      </c>
      <c r="L219" s="13">
        <v>896.57</v>
      </c>
      <c r="M219" s="13">
        <v>853.01</v>
      </c>
      <c r="N219" s="13">
        <v>884.74</v>
      </c>
      <c r="O219" s="13">
        <v>845.48</v>
      </c>
      <c r="P219" s="13">
        <v>689.06</v>
      </c>
    </row>
    <row r="220" spans="1:16" ht="15" customHeight="1" x14ac:dyDescent="0.3">
      <c r="A220" s="12" t="s">
        <v>409</v>
      </c>
      <c r="B220" s="13">
        <v>2599.9899999999998</v>
      </c>
      <c r="C220" s="13">
        <v>2765.45</v>
      </c>
      <c r="D220" s="13">
        <v>2866.49</v>
      </c>
      <c r="E220" s="13">
        <v>3042.65</v>
      </c>
      <c r="F220" s="13">
        <v>1561.99</v>
      </c>
      <c r="G220" s="13">
        <v>1693.26</v>
      </c>
      <c r="H220" s="13">
        <v>825.03</v>
      </c>
      <c r="I220" s="13">
        <v>768.07</v>
      </c>
      <c r="J220" s="13">
        <v>814.23</v>
      </c>
      <c r="K220" s="13">
        <v>792.44</v>
      </c>
      <c r="L220" s="13">
        <v>609.02</v>
      </c>
      <c r="M220" s="13">
        <v>536.11</v>
      </c>
      <c r="N220" s="13">
        <v>600.1</v>
      </c>
      <c r="O220" s="13">
        <v>616.53</v>
      </c>
      <c r="P220" s="13">
        <v>464.96</v>
      </c>
    </row>
    <row r="221" spans="1:16" ht="15" customHeight="1" x14ac:dyDescent="0.3">
      <c r="A221" s="12" t="s">
        <v>410</v>
      </c>
      <c r="B221" s="15">
        <v>55.89</v>
      </c>
      <c r="C221" s="15">
        <v>54.04</v>
      </c>
      <c r="D221" s="15">
        <v>64.39</v>
      </c>
      <c r="E221" s="15">
        <v>67.98</v>
      </c>
      <c r="F221" s="15">
        <v>59.05</v>
      </c>
      <c r="G221" s="15">
        <v>47.47</v>
      </c>
      <c r="H221" s="15">
        <v>32.08</v>
      </c>
      <c r="I221" s="15">
        <v>7.35</v>
      </c>
      <c r="J221" s="15">
        <v>6.41</v>
      </c>
      <c r="K221" s="15">
        <v>8.51</v>
      </c>
      <c r="L221" s="15">
        <v>8.81</v>
      </c>
      <c r="M221" s="15">
        <v>28.63</v>
      </c>
      <c r="N221" s="15">
        <v>26.24</v>
      </c>
      <c r="O221" s="15">
        <v>26.37</v>
      </c>
      <c r="P221" s="15">
        <v>26.07</v>
      </c>
    </row>
    <row r="222" spans="1:16" ht="15" customHeight="1" x14ac:dyDescent="0.3">
      <c r="A222" s="12" t="s">
        <v>411</v>
      </c>
      <c r="B222" s="13">
        <v>147.62</v>
      </c>
      <c r="C222" s="13">
        <v>198.27</v>
      </c>
      <c r="D222" s="13">
        <v>158.94</v>
      </c>
      <c r="E222" s="13">
        <v>190.4</v>
      </c>
      <c r="F222" s="13">
        <v>1735.73</v>
      </c>
      <c r="G222" s="13">
        <v>331.89</v>
      </c>
      <c r="H222" s="13">
        <v>272.95999999999998</v>
      </c>
      <c r="I222" s="13">
        <v>394.75</v>
      </c>
      <c r="J222" s="13">
        <v>241.76</v>
      </c>
      <c r="K222" s="13">
        <v>182.81</v>
      </c>
      <c r="L222" s="13">
        <v>181.29</v>
      </c>
      <c r="M222" s="13">
        <v>288.93</v>
      </c>
      <c r="N222" s="13">
        <v>256.67</v>
      </c>
      <c r="O222" s="13">
        <v>200.36</v>
      </c>
      <c r="P222" s="13">
        <v>224.1</v>
      </c>
    </row>
    <row r="223" spans="1:16" ht="15" customHeight="1" x14ac:dyDescent="0.3">
      <c r="A223" s="12" t="s">
        <v>412</v>
      </c>
      <c r="B223" s="13">
        <v>123.77</v>
      </c>
      <c r="C223" s="13">
        <v>162.96</v>
      </c>
      <c r="D223" s="13">
        <v>140.91</v>
      </c>
      <c r="E223" s="13">
        <v>124.18</v>
      </c>
      <c r="F223" s="13">
        <v>1159.71</v>
      </c>
      <c r="G223" s="13">
        <v>298.92</v>
      </c>
      <c r="H223" s="13">
        <v>170.94</v>
      </c>
      <c r="I223" s="13">
        <v>246.05</v>
      </c>
      <c r="J223" s="13">
        <v>107.41</v>
      </c>
      <c r="K223" s="15">
        <v>74.75</v>
      </c>
      <c r="L223" s="15">
        <v>22.83</v>
      </c>
      <c r="M223" s="15">
        <v>67.680000000000007</v>
      </c>
      <c r="N223" s="15">
        <v>14.03</v>
      </c>
      <c r="O223" s="15">
        <v>72.47</v>
      </c>
      <c r="P223" s="15">
        <v>19.170000000000002</v>
      </c>
    </row>
    <row r="224" spans="1:16" ht="15" customHeight="1" x14ac:dyDescent="0.3">
      <c r="A224" s="12" t="s">
        <v>413</v>
      </c>
      <c r="B224" s="13">
        <v>307.23</v>
      </c>
      <c r="C224" s="13">
        <v>429.6</v>
      </c>
      <c r="D224" s="13">
        <v>399.3</v>
      </c>
      <c r="E224" s="13">
        <v>397.7</v>
      </c>
      <c r="F224" s="13">
        <v>788.31</v>
      </c>
      <c r="G224" s="13">
        <v>389.95</v>
      </c>
      <c r="H224" s="13">
        <v>281.63</v>
      </c>
      <c r="I224" s="13">
        <v>394.89</v>
      </c>
      <c r="J224" s="13">
        <v>252.2</v>
      </c>
      <c r="K224" s="13">
        <v>187.27</v>
      </c>
      <c r="L224" s="13">
        <v>186.07</v>
      </c>
      <c r="M224" s="13">
        <v>293.49</v>
      </c>
      <c r="N224" s="13">
        <v>272.75</v>
      </c>
      <c r="O224" s="13">
        <v>209.59</v>
      </c>
      <c r="P224" s="13">
        <v>239.04</v>
      </c>
    </row>
    <row r="225" spans="1:16" ht="15" customHeight="1" x14ac:dyDescent="0.3">
      <c r="A225" s="12" t="s">
        <v>414</v>
      </c>
      <c r="B225" s="13">
        <v>901.16</v>
      </c>
      <c r="C225" s="13">
        <v>741.63</v>
      </c>
      <c r="D225" s="13">
        <v>1718.58</v>
      </c>
      <c r="E225" s="13">
        <v>1560.5</v>
      </c>
      <c r="F225" s="13">
        <v>1163.27</v>
      </c>
      <c r="G225" s="13">
        <v>897.94</v>
      </c>
      <c r="H225" s="13">
        <v>926.17</v>
      </c>
      <c r="I225" s="13">
        <v>936.85</v>
      </c>
      <c r="J225" s="13">
        <v>945.94</v>
      </c>
      <c r="K225" s="13">
        <v>900.98</v>
      </c>
      <c r="L225" s="13">
        <v>518.28</v>
      </c>
      <c r="M225" s="13">
        <v>545.77</v>
      </c>
      <c r="N225" s="13">
        <v>537.70000000000005</v>
      </c>
      <c r="O225" s="13">
        <v>514.52</v>
      </c>
      <c r="P225" s="13">
        <v>588.9</v>
      </c>
    </row>
    <row r="226" spans="1:16" ht="15" customHeight="1" x14ac:dyDescent="0.3">
      <c r="A226" s="10" t="s">
        <v>415</v>
      </c>
      <c r="B226" s="11"/>
      <c r="C226" s="11"/>
      <c r="D226" s="11"/>
      <c r="E226" s="11"/>
      <c r="F226" s="11"/>
      <c r="G226" s="11"/>
      <c r="H226" s="11"/>
      <c r="I226" s="11"/>
      <c r="J226" s="11"/>
      <c r="K226" s="11"/>
      <c r="L226" s="11"/>
      <c r="M226" s="11"/>
      <c r="N226" s="11"/>
      <c r="O226" s="11"/>
      <c r="P226" s="11"/>
    </row>
    <row r="227" spans="1:16" ht="15" customHeight="1" x14ac:dyDescent="0.3">
      <c r="A227" s="12" t="s">
        <v>416</v>
      </c>
      <c r="B227" s="19">
        <v>13300</v>
      </c>
      <c r="C227" s="19">
        <v>13370</v>
      </c>
      <c r="D227" s="19">
        <v>14500</v>
      </c>
      <c r="E227" s="19">
        <v>13000</v>
      </c>
      <c r="F227" s="19">
        <v>11000</v>
      </c>
      <c r="G227" s="19">
        <v>11000</v>
      </c>
      <c r="H227" s="19">
        <v>11000</v>
      </c>
      <c r="I227" s="13">
        <v>9500</v>
      </c>
      <c r="J227" s="19">
        <v>13600</v>
      </c>
      <c r="K227" s="19">
        <v>16437</v>
      </c>
      <c r="L227" s="13">
        <v>9000</v>
      </c>
      <c r="M227" s="13">
        <v>7700</v>
      </c>
      <c r="N227" s="13">
        <v>4000</v>
      </c>
      <c r="O227" s="13">
        <v>4000</v>
      </c>
      <c r="P227" s="13">
        <v>8019</v>
      </c>
    </row>
    <row r="228" spans="1:16" ht="15" customHeight="1" x14ac:dyDescent="0.3">
      <c r="A228" s="10" t="s">
        <v>417</v>
      </c>
      <c r="B228" s="11"/>
      <c r="C228" s="11"/>
      <c r="D228" s="11"/>
      <c r="E228" s="11"/>
      <c r="F228" s="11"/>
      <c r="G228" s="11"/>
      <c r="H228" s="11"/>
      <c r="I228" s="11"/>
      <c r="J228" s="11"/>
      <c r="K228" s="11"/>
      <c r="L228" s="11"/>
      <c r="M228" s="11"/>
      <c r="N228" s="11"/>
      <c r="O228" s="11"/>
      <c r="P228" s="11"/>
    </row>
    <row r="229" spans="1:16" ht="15" customHeight="1" x14ac:dyDescent="0.3">
      <c r="A229" s="12" t="s">
        <v>418</v>
      </c>
      <c r="B229" s="15">
        <v>97.49</v>
      </c>
      <c r="C229" s="13">
        <v>107.18</v>
      </c>
      <c r="D229" s="13">
        <v>126.47</v>
      </c>
      <c r="E229" s="13">
        <v>133.96</v>
      </c>
      <c r="F229" s="15">
        <v>51.72</v>
      </c>
      <c r="G229" s="13">
        <v>139.91</v>
      </c>
      <c r="H229" s="15">
        <v>60.01</v>
      </c>
      <c r="I229" s="15">
        <v>19.7</v>
      </c>
      <c r="J229" s="15">
        <v>27.83</v>
      </c>
      <c r="K229" s="15">
        <v>30.72</v>
      </c>
      <c r="L229" s="15">
        <v>25.02</v>
      </c>
      <c r="M229" s="15">
        <v>17.2</v>
      </c>
      <c r="N229" s="15">
        <v>18.57</v>
      </c>
      <c r="O229" s="15">
        <v>16.02</v>
      </c>
      <c r="P229" s="15">
        <v>15.78</v>
      </c>
    </row>
    <row r="230" spans="1:16" ht="15" customHeight="1" x14ac:dyDescent="0.3">
      <c r="A230" s="14" t="s">
        <v>419</v>
      </c>
      <c r="B230" s="15">
        <v>22.67</v>
      </c>
      <c r="C230" s="15">
        <v>25.62</v>
      </c>
      <c r="D230" s="15">
        <v>28.14</v>
      </c>
      <c r="E230" s="15">
        <v>27.48</v>
      </c>
      <c r="F230" s="15">
        <v>12.4</v>
      </c>
      <c r="G230" s="15">
        <v>22.97</v>
      </c>
      <c r="H230" s="15">
        <v>11.2</v>
      </c>
      <c r="I230" s="15">
        <v>4.46</v>
      </c>
      <c r="J230" s="15">
        <v>5.07</v>
      </c>
      <c r="K230" s="15">
        <v>7.03</v>
      </c>
      <c r="L230" s="15">
        <v>4.18</v>
      </c>
      <c r="M230" s="15">
        <v>4.1900000000000004</v>
      </c>
      <c r="N230" s="15">
        <v>3.67</v>
      </c>
      <c r="O230" s="15">
        <v>4.34</v>
      </c>
      <c r="P230" s="15">
        <v>3.48</v>
      </c>
    </row>
    <row r="231" spans="1:16" ht="15" customHeight="1" x14ac:dyDescent="0.3">
      <c r="A231" s="14" t="s">
        <v>420</v>
      </c>
      <c r="B231" s="15">
        <v>21.14</v>
      </c>
      <c r="C231" s="15">
        <v>21.03</v>
      </c>
      <c r="D231" s="15">
        <v>24.4</v>
      </c>
      <c r="E231" s="15">
        <v>24.06</v>
      </c>
      <c r="F231" s="15">
        <v>9.25</v>
      </c>
      <c r="G231" s="15">
        <v>13.41</v>
      </c>
      <c r="H231" s="19"/>
      <c r="I231" s="19"/>
      <c r="J231" s="19"/>
      <c r="K231" s="19"/>
      <c r="L231" s="19"/>
      <c r="M231" s="19"/>
      <c r="N231" s="15">
        <v>2.8</v>
      </c>
      <c r="O231" s="15">
        <v>3.5</v>
      </c>
      <c r="P231" s="15">
        <v>3</v>
      </c>
    </row>
    <row r="232" spans="1:16" ht="15" customHeight="1" x14ac:dyDescent="0.3">
      <c r="A232" s="14" t="s">
        <v>421</v>
      </c>
      <c r="B232" s="15">
        <v>18.04</v>
      </c>
      <c r="C232" s="15">
        <v>18.87</v>
      </c>
      <c r="D232" s="15">
        <v>20.07</v>
      </c>
      <c r="E232" s="15">
        <v>21.13</v>
      </c>
      <c r="F232" s="15">
        <v>9.27</v>
      </c>
      <c r="G232" s="15">
        <v>16.600000000000001</v>
      </c>
      <c r="H232" s="15">
        <v>15.74</v>
      </c>
      <c r="I232" s="15">
        <v>7.3</v>
      </c>
      <c r="J232" s="15">
        <v>10.029999999999999</v>
      </c>
      <c r="K232" s="15">
        <v>11.27</v>
      </c>
      <c r="L232" s="15">
        <v>6.56</v>
      </c>
      <c r="M232" s="15">
        <v>3.47</v>
      </c>
      <c r="N232" s="15">
        <v>1.5</v>
      </c>
      <c r="O232" s="15">
        <v>2.8</v>
      </c>
      <c r="P232" s="15">
        <v>2.2999999999999998</v>
      </c>
    </row>
    <row r="233" spans="1:16" ht="15" customHeight="1" x14ac:dyDescent="0.3">
      <c r="A233" s="14" t="s">
        <v>422</v>
      </c>
      <c r="B233" s="15">
        <v>14.74</v>
      </c>
      <c r="C233" s="15">
        <v>15.93</v>
      </c>
      <c r="D233" s="15">
        <v>18.02</v>
      </c>
      <c r="E233" s="15">
        <v>17.010000000000002</v>
      </c>
      <c r="F233" s="15">
        <v>7.75</v>
      </c>
      <c r="G233" s="15">
        <v>16.72</v>
      </c>
      <c r="H233" s="19"/>
      <c r="I233" s="19"/>
      <c r="J233" s="19"/>
      <c r="K233" s="19"/>
      <c r="L233" s="19"/>
      <c r="M233" s="19"/>
      <c r="N233" s="15">
        <v>1.2</v>
      </c>
      <c r="O233" s="15">
        <v>1.8</v>
      </c>
      <c r="P233" s="15">
        <v>1.9</v>
      </c>
    </row>
    <row r="234" spans="1:16" ht="15" customHeight="1" x14ac:dyDescent="0.3">
      <c r="A234" s="14" t="s">
        <v>423</v>
      </c>
      <c r="B234" s="15">
        <v>12.28</v>
      </c>
      <c r="C234" s="15">
        <v>12.54</v>
      </c>
      <c r="D234" s="15">
        <v>15.47</v>
      </c>
      <c r="E234" s="15">
        <v>15.02</v>
      </c>
      <c r="F234" s="15">
        <v>4.88</v>
      </c>
      <c r="G234" s="15">
        <v>15.47</v>
      </c>
      <c r="H234" s="15">
        <v>17.760000000000002</v>
      </c>
      <c r="I234" s="15">
        <v>2.74</v>
      </c>
      <c r="J234" s="15">
        <v>6.09</v>
      </c>
      <c r="K234" s="15">
        <v>7.31</v>
      </c>
      <c r="L234" s="15">
        <v>4.78</v>
      </c>
      <c r="M234" s="15">
        <v>2.2799999999999998</v>
      </c>
      <c r="N234" s="15">
        <v>1.2</v>
      </c>
      <c r="O234" s="15">
        <v>1.7</v>
      </c>
      <c r="P234" s="15">
        <v>1.6</v>
      </c>
    </row>
    <row r="235" spans="1:16" ht="15" customHeight="1" x14ac:dyDescent="0.3">
      <c r="A235" s="14" t="s">
        <v>424</v>
      </c>
      <c r="B235" s="15">
        <v>28.7</v>
      </c>
      <c r="C235" s="15">
        <v>33.5</v>
      </c>
      <c r="D235" s="15">
        <v>44.33</v>
      </c>
      <c r="E235" s="15">
        <v>54.5</v>
      </c>
      <c r="F235" s="15">
        <v>21.42</v>
      </c>
      <c r="G235" s="13">
        <v>105.61</v>
      </c>
      <c r="H235" s="15">
        <v>15.31</v>
      </c>
      <c r="I235" s="15">
        <v>5.2</v>
      </c>
      <c r="J235" s="15">
        <v>6.64</v>
      </c>
      <c r="K235" s="15">
        <v>5.1100000000000003</v>
      </c>
      <c r="L235" s="15">
        <v>9.5</v>
      </c>
      <c r="M235" s="15">
        <v>7.25</v>
      </c>
      <c r="N235" s="15">
        <v>8.11</v>
      </c>
      <c r="O235" s="15">
        <v>1.95</v>
      </c>
      <c r="P235" s="15">
        <v>3.5</v>
      </c>
    </row>
    <row r="236" spans="1:16" ht="15" customHeight="1" x14ac:dyDescent="0.3">
      <c r="A236" s="14" t="s">
        <v>425</v>
      </c>
      <c r="B236" s="15">
        <v>20.079999999999998</v>
      </c>
      <c r="C236" s="15">
        <v>20.32</v>
      </c>
      <c r="D236" s="15">
        <v>23.96</v>
      </c>
      <c r="E236" s="15">
        <v>25.23</v>
      </c>
      <c r="F236" s="15">
        <v>13.24</v>
      </c>
      <c r="G236" s="15">
        <v>50.86</v>
      </c>
      <c r="H236" s="19"/>
      <c r="I236" s="19"/>
      <c r="J236" s="19"/>
      <c r="K236" s="19"/>
      <c r="L236" s="19"/>
      <c r="M236" s="19"/>
      <c r="N236" s="19"/>
      <c r="O236" s="19"/>
      <c r="P236" s="19"/>
    </row>
    <row r="237" spans="1:16" ht="15" customHeight="1" x14ac:dyDescent="0.3">
      <c r="A237" s="12" t="s">
        <v>426</v>
      </c>
      <c r="B237" s="15">
        <v>39.18</v>
      </c>
      <c r="C237" s="15">
        <v>39.9</v>
      </c>
      <c r="D237" s="15">
        <v>44.47</v>
      </c>
      <c r="E237" s="15">
        <v>45.2</v>
      </c>
      <c r="F237" s="15">
        <v>18.52</v>
      </c>
      <c r="G237" s="15">
        <v>30.01</v>
      </c>
      <c r="H237" s="19"/>
      <c r="I237" s="19"/>
      <c r="J237" s="19"/>
      <c r="K237" s="19"/>
      <c r="L237" s="19"/>
      <c r="M237" s="19"/>
      <c r="N237" s="15">
        <v>4.3</v>
      </c>
      <c r="O237" s="15">
        <v>6.3</v>
      </c>
      <c r="P237" s="15">
        <v>5.3</v>
      </c>
    </row>
    <row r="238" spans="1:16" ht="15" customHeight="1" x14ac:dyDescent="0.3">
      <c r="A238" s="12" t="s">
        <v>427</v>
      </c>
      <c r="B238" s="15">
        <v>27.02</v>
      </c>
      <c r="C238" s="15">
        <v>28.47</v>
      </c>
      <c r="D238" s="15">
        <v>33.49</v>
      </c>
      <c r="E238" s="15">
        <v>32.020000000000003</v>
      </c>
      <c r="F238" s="15">
        <v>12.62</v>
      </c>
      <c r="G238" s="15">
        <v>32.19</v>
      </c>
      <c r="H238" s="19"/>
      <c r="I238" s="19"/>
      <c r="J238" s="19"/>
      <c r="K238" s="19"/>
      <c r="L238" s="19"/>
      <c r="M238" s="19"/>
      <c r="N238" s="15">
        <v>2.4</v>
      </c>
      <c r="O238" s="15">
        <v>3.5</v>
      </c>
      <c r="P238" s="15">
        <v>3.5</v>
      </c>
    </row>
    <row r="239" spans="1:16" ht="15" customHeight="1" x14ac:dyDescent="0.3">
      <c r="A239" s="12" t="s">
        <v>428</v>
      </c>
      <c r="B239" s="15">
        <v>28.7</v>
      </c>
      <c r="C239" s="15">
        <v>33.5</v>
      </c>
      <c r="D239" s="15">
        <v>44.33</v>
      </c>
      <c r="E239" s="15">
        <v>54.5</v>
      </c>
      <c r="F239" s="15">
        <v>21.42</v>
      </c>
      <c r="G239" s="13">
        <v>105.61</v>
      </c>
      <c r="H239" s="15">
        <v>15.31</v>
      </c>
      <c r="I239" s="15">
        <v>5.2</v>
      </c>
      <c r="J239" s="15">
        <v>6.64</v>
      </c>
      <c r="K239" s="15">
        <v>5.1100000000000003</v>
      </c>
      <c r="L239" s="15">
        <v>9.5</v>
      </c>
      <c r="M239" s="15">
        <v>7.25</v>
      </c>
      <c r="N239" s="15">
        <v>8.11</v>
      </c>
      <c r="O239" s="15">
        <v>1.95</v>
      </c>
      <c r="P239" s="15">
        <v>3.5</v>
      </c>
    </row>
    <row r="240" spans="1:16" ht="15" customHeight="1" x14ac:dyDescent="0.3">
      <c r="A240" s="10" t="s">
        <v>429</v>
      </c>
      <c r="B240" s="11"/>
      <c r="C240" s="11"/>
      <c r="D240" s="11"/>
      <c r="E240" s="11"/>
      <c r="F240" s="11"/>
      <c r="G240" s="11"/>
      <c r="H240" s="11"/>
      <c r="I240" s="11"/>
      <c r="J240" s="11"/>
      <c r="K240" s="11"/>
      <c r="L240" s="11"/>
      <c r="M240" s="11"/>
      <c r="N240" s="11"/>
      <c r="O240" s="11"/>
      <c r="P240" s="11"/>
    </row>
    <row r="241" spans="1:16" ht="15" customHeight="1" x14ac:dyDescent="0.3">
      <c r="A241" s="12" t="s">
        <v>430</v>
      </c>
      <c r="B241" s="19"/>
      <c r="C241" s="19"/>
      <c r="D241" s="19"/>
      <c r="E241" s="19"/>
      <c r="F241" s="19"/>
      <c r="G241" s="19"/>
      <c r="H241" s="19"/>
      <c r="I241" s="19"/>
      <c r="J241" s="19"/>
      <c r="K241" s="19"/>
      <c r="L241" s="19"/>
      <c r="M241" s="19"/>
      <c r="N241" s="19">
        <v>0</v>
      </c>
      <c r="O241" s="19"/>
      <c r="P241" s="19"/>
    </row>
    <row r="242" spans="1:16" ht="15" customHeight="1" x14ac:dyDescent="0.3">
      <c r="A242" s="12" t="s">
        <v>431</v>
      </c>
      <c r="B242" s="19"/>
      <c r="C242" s="19"/>
      <c r="D242" s="19"/>
      <c r="E242" s="19"/>
      <c r="F242" s="19"/>
      <c r="G242" s="19"/>
      <c r="H242" s="19"/>
      <c r="I242" s="19"/>
      <c r="J242" s="19"/>
      <c r="K242" s="19"/>
      <c r="L242" s="19"/>
      <c r="M242" s="19"/>
      <c r="N242" s="19">
        <v>0</v>
      </c>
      <c r="O242" s="19"/>
      <c r="P242" s="19"/>
    </row>
    <row r="243" spans="1:16" ht="15" customHeight="1" x14ac:dyDescent="0.3">
      <c r="A243" s="12" t="s">
        <v>432</v>
      </c>
      <c r="B243" s="19"/>
      <c r="C243" s="19"/>
      <c r="D243" s="19"/>
      <c r="E243" s="19"/>
      <c r="F243" s="19"/>
      <c r="G243" s="19"/>
      <c r="H243" s="19"/>
      <c r="I243" s="19"/>
      <c r="J243" s="19"/>
      <c r="K243" s="19"/>
      <c r="L243" s="19"/>
      <c r="M243" s="19"/>
      <c r="N243" s="15">
        <v>1.62</v>
      </c>
      <c r="O243" s="19"/>
      <c r="P243" s="19"/>
    </row>
    <row r="244" spans="1:16" ht="15" customHeight="1" x14ac:dyDescent="0.3">
      <c r="A244" s="10" t="s">
        <v>433</v>
      </c>
      <c r="B244" s="11"/>
      <c r="C244" s="11"/>
      <c r="D244" s="11"/>
      <c r="E244" s="11"/>
      <c r="F244" s="11"/>
      <c r="G244" s="11"/>
      <c r="H244" s="11"/>
      <c r="I244" s="11"/>
      <c r="J244" s="11"/>
      <c r="K244" s="11"/>
      <c r="L244" s="11"/>
      <c r="M244" s="11"/>
      <c r="N244" s="11"/>
      <c r="O244" s="11"/>
      <c r="P244" s="11"/>
    </row>
    <row r="245" spans="1:16" ht="15" customHeight="1" x14ac:dyDescent="0.3">
      <c r="A245" s="12" t="s">
        <v>434</v>
      </c>
      <c r="B245" s="13">
        <v>5000</v>
      </c>
      <c r="C245" s="13">
        <v>5200</v>
      </c>
      <c r="D245" s="13">
        <v>5700</v>
      </c>
      <c r="E245" s="13">
        <v>5600</v>
      </c>
      <c r="F245" s="13">
        <v>5400</v>
      </c>
      <c r="G245" s="13">
        <v>5900</v>
      </c>
      <c r="H245" s="13">
        <v>3950</v>
      </c>
      <c r="I245" s="13">
        <v>4100</v>
      </c>
      <c r="J245" s="13">
        <v>4100</v>
      </c>
      <c r="K245" s="13">
        <v>3800</v>
      </c>
      <c r="L245" s="13">
        <v>4800</v>
      </c>
      <c r="M245" s="13">
        <v>4800</v>
      </c>
      <c r="N245" s="13">
        <v>4700</v>
      </c>
      <c r="O245" s="13">
        <v>4800</v>
      </c>
      <c r="P245" s="13">
        <v>4600</v>
      </c>
    </row>
    <row r="246" spans="1:16" ht="15" customHeight="1" x14ac:dyDescent="0.3">
      <c r="A246" s="12" t="s">
        <v>435</v>
      </c>
      <c r="B246" s="13">
        <v>5000</v>
      </c>
      <c r="C246" s="13">
        <v>5200</v>
      </c>
      <c r="D246" s="13">
        <v>5700</v>
      </c>
      <c r="E246" s="13">
        <v>5600</v>
      </c>
      <c r="F246" s="13">
        <v>5400</v>
      </c>
      <c r="G246" s="13">
        <v>5900</v>
      </c>
      <c r="H246" s="13">
        <v>3950</v>
      </c>
      <c r="I246" s="13">
        <v>4100</v>
      </c>
      <c r="J246" s="13">
        <v>4100</v>
      </c>
      <c r="K246" s="13">
        <v>3800</v>
      </c>
      <c r="L246" s="13">
        <v>4800</v>
      </c>
      <c r="M246" s="13">
        <v>4800</v>
      </c>
      <c r="N246" s="13">
        <v>4700</v>
      </c>
      <c r="O246" s="13">
        <v>4800</v>
      </c>
      <c r="P246" s="13">
        <v>4600</v>
      </c>
    </row>
  </sheetData>
  <mergeCells count="75">
    <mergeCell ref="B11"/>
    <mergeCell ref="C11"/>
    <mergeCell ref="D11"/>
    <mergeCell ref="E11"/>
    <mergeCell ref="F11"/>
    <mergeCell ref="G11"/>
    <mergeCell ref="H11"/>
    <mergeCell ref="I11"/>
    <mergeCell ref="J11"/>
    <mergeCell ref="K11"/>
    <mergeCell ref="L11"/>
    <mergeCell ref="M11"/>
    <mergeCell ref="N11"/>
    <mergeCell ref="O11"/>
    <mergeCell ref="P11"/>
    <mergeCell ref="B12"/>
    <mergeCell ref="B13"/>
    <mergeCell ref="B14"/>
    <mergeCell ref="B15"/>
    <mergeCell ref="C12"/>
    <mergeCell ref="C13"/>
    <mergeCell ref="C14"/>
    <mergeCell ref="C15"/>
    <mergeCell ref="D12"/>
    <mergeCell ref="D13"/>
    <mergeCell ref="D14"/>
    <mergeCell ref="D15"/>
    <mergeCell ref="E12"/>
    <mergeCell ref="E13"/>
    <mergeCell ref="E14"/>
    <mergeCell ref="E15"/>
    <mergeCell ref="F12"/>
    <mergeCell ref="F13"/>
    <mergeCell ref="F14"/>
    <mergeCell ref="F15"/>
    <mergeCell ref="G12"/>
    <mergeCell ref="G13"/>
    <mergeCell ref="G14"/>
    <mergeCell ref="G15"/>
    <mergeCell ref="H12"/>
    <mergeCell ref="H13"/>
    <mergeCell ref="H14"/>
    <mergeCell ref="H15"/>
    <mergeCell ref="I12"/>
    <mergeCell ref="I13"/>
    <mergeCell ref="I14"/>
    <mergeCell ref="I15"/>
    <mergeCell ref="J12"/>
    <mergeCell ref="J13"/>
    <mergeCell ref="J14"/>
    <mergeCell ref="J15"/>
    <mergeCell ref="K12"/>
    <mergeCell ref="K13"/>
    <mergeCell ref="K14"/>
    <mergeCell ref="K15"/>
    <mergeCell ref="L12"/>
    <mergeCell ref="L13"/>
    <mergeCell ref="L14"/>
    <mergeCell ref="L15"/>
    <mergeCell ref="M12"/>
    <mergeCell ref="M13"/>
    <mergeCell ref="M14"/>
    <mergeCell ref="M15"/>
    <mergeCell ref="P12"/>
    <mergeCell ref="P13"/>
    <mergeCell ref="P14"/>
    <mergeCell ref="P15"/>
    <mergeCell ref="N12"/>
    <mergeCell ref="N13"/>
    <mergeCell ref="N14"/>
    <mergeCell ref="N15"/>
    <mergeCell ref="O12"/>
    <mergeCell ref="O13"/>
    <mergeCell ref="O14"/>
    <mergeCell ref="O15"/>
  </mergeCells>
  <pageMargins left="0.5" right="0.5" top="1" bottom="1" header="0.5" footer="0.75"/>
  <pageSetup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102"/>
  <sheetViews>
    <sheetView topLeftCell="A53" workbookViewId="0">
      <selection activeCell="A91" sqref="A91"/>
    </sheetView>
  </sheetViews>
  <sheetFormatPr defaultRowHeight="14.4" outlineLevelRow="1" x14ac:dyDescent="0.3"/>
  <cols>
    <col min="1" max="1" width="85.6640625" customWidth="1"/>
    <col min="2" max="16" width="15.6640625" customWidth="1"/>
  </cols>
  <sheetData>
    <row r="1" spans="1:16" ht="15" customHeight="1" x14ac:dyDescent="0.3">
      <c r="A1" s="1" t="s">
        <v>436</v>
      </c>
      <c r="B1" s="2"/>
      <c r="C1" s="2"/>
      <c r="D1" s="2"/>
      <c r="E1" s="2"/>
      <c r="F1" s="2"/>
      <c r="G1" s="2"/>
      <c r="H1" s="2"/>
      <c r="I1" s="2"/>
      <c r="J1" s="2"/>
      <c r="K1" s="2"/>
      <c r="L1" s="2"/>
      <c r="M1" s="2"/>
      <c r="N1" s="2"/>
      <c r="O1" s="2"/>
      <c r="P1" s="2"/>
    </row>
    <row r="2" spans="1:16" ht="15" customHeight="1" x14ac:dyDescent="0.3">
      <c r="A2" s="3" t="s">
        <v>1</v>
      </c>
      <c r="B2" s="4" t="s">
        <v>2</v>
      </c>
    </row>
    <row r="3" spans="1:16" x14ac:dyDescent="0.3">
      <c r="A3" s="3" t="s">
        <v>3</v>
      </c>
      <c r="B3" s="3" t="s">
        <v>4</v>
      </c>
    </row>
    <row r="4" spans="1:16" x14ac:dyDescent="0.3">
      <c r="A4" s="3" t="s">
        <v>5</v>
      </c>
      <c r="B4" s="3" t="s">
        <v>4</v>
      </c>
    </row>
    <row r="5" spans="1:16" x14ac:dyDescent="0.3">
      <c r="A5" s="3" t="s">
        <v>6</v>
      </c>
      <c r="B5" s="3" t="s">
        <v>7</v>
      </c>
    </row>
    <row r="6" spans="1:16" x14ac:dyDescent="0.3">
      <c r="A6" s="3" t="s">
        <v>8</v>
      </c>
      <c r="B6" s="3" t="s">
        <v>9</v>
      </c>
    </row>
    <row r="7" spans="1:16" x14ac:dyDescent="0.3">
      <c r="A7" s="3" t="s">
        <v>10</v>
      </c>
      <c r="B7" s="3" t="s">
        <v>11</v>
      </c>
    </row>
    <row r="8" spans="1:16" x14ac:dyDescent="0.3">
      <c r="A8" s="3" t="s">
        <v>12</v>
      </c>
      <c r="B8" s="3" t="s">
        <v>13</v>
      </c>
    </row>
    <row r="9" spans="1:16" x14ac:dyDescent="0.3">
      <c r="A9" s="3" t="s">
        <v>14</v>
      </c>
      <c r="B9" s="3" t="s">
        <v>15</v>
      </c>
    </row>
    <row r="10" spans="1:16" x14ac:dyDescent="0.3">
      <c r="A10" s="3" t="s">
        <v>16</v>
      </c>
      <c r="B10" s="5">
        <v>45835.823178101899</v>
      </c>
    </row>
    <row r="11" spans="1:16" x14ac:dyDescent="0.3">
      <c r="A11" s="6" t="s">
        <v>17</v>
      </c>
      <c r="B11" s="78" t="s">
        <v>18</v>
      </c>
      <c r="C11" s="78" t="s">
        <v>19</v>
      </c>
      <c r="D11" s="78" t="s">
        <v>20</v>
      </c>
      <c r="E11" s="78" t="s">
        <v>21</v>
      </c>
      <c r="F11" s="78" t="s">
        <v>22</v>
      </c>
      <c r="G11" s="78" t="s">
        <v>23</v>
      </c>
      <c r="H11" s="78" t="s">
        <v>24</v>
      </c>
      <c r="I11" s="78" t="s">
        <v>25</v>
      </c>
      <c r="J11" s="78" t="s">
        <v>26</v>
      </c>
      <c r="K11" s="78" t="s">
        <v>27</v>
      </c>
      <c r="L11" s="78" t="s">
        <v>28</v>
      </c>
      <c r="M11" s="78" t="s">
        <v>29</v>
      </c>
      <c r="N11" s="78" t="s">
        <v>30</v>
      </c>
      <c r="O11" s="78" t="s">
        <v>31</v>
      </c>
      <c r="P11" s="78" t="s">
        <v>32</v>
      </c>
    </row>
    <row r="12" spans="1:16" ht="15" customHeight="1" outlineLevel="1" x14ac:dyDescent="0.3">
      <c r="A12" s="7" t="s">
        <v>33</v>
      </c>
      <c r="B12" s="76">
        <v>45657</v>
      </c>
      <c r="C12" s="76">
        <v>45291</v>
      </c>
      <c r="D12" s="76">
        <v>44926</v>
      </c>
      <c r="E12" s="76">
        <v>44561</v>
      </c>
      <c r="F12" s="76">
        <v>44196</v>
      </c>
      <c r="G12" s="76">
        <v>43830</v>
      </c>
      <c r="H12" s="76">
        <v>43465</v>
      </c>
      <c r="I12" s="76">
        <v>43100</v>
      </c>
      <c r="J12" s="76">
        <v>42735</v>
      </c>
      <c r="K12" s="76">
        <v>42369</v>
      </c>
      <c r="L12" s="76">
        <v>42004</v>
      </c>
      <c r="M12" s="76">
        <v>41639</v>
      </c>
      <c r="N12" s="76">
        <v>41274</v>
      </c>
      <c r="O12" s="76">
        <v>40908</v>
      </c>
      <c r="P12" s="76">
        <v>40543</v>
      </c>
    </row>
    <row r="13" spans="1:16" ht="15" customHeight="1" outlineLevel="1" x14ac:dyDescent="0.3">
      <c r="A13" s="7" t="s">
        <v>34</v>
      </c>
      <c r="B13" s="76">
        <v>45657</v>
      </c>
      <c r="C13" s="76">
        <v>45291</v>
      </c>
      <c r="D13" s="76">
        <v>44926</v>
      </c>
      <c r="E13" s="76">
        <v>44561</v>
      </c>
      <c r="F13" s="76">
        <v>44196</v>
      </c>
      <c r="G13" s="76">
        <v>43830</v>
      </c>
      <c r="H13" s="76">
        <v>43465</v>
      </c>
      <c r="I13" s="76">
        <v>43100</v>
      </c>
      <c r="J13" s="76">
        <v>42735</v>
      </c>
      <c r="K13" s="76">
        <v>42735</v>
      </c>
      <c r="L13" s="76">
        <v>42735</v>
      </c>
      <c r="M13" s="76">
        <v>42369</v>
      </c>
      <c r="N13" s="76">
        <v>41274</v>
      </c>
      <c r="O13" s="76">
        <v>40908</v>
      </c>
      <c r="P13" s="76">
        <v>40543</v>
      </c>
    </row>
    <row r="14" spans="1:16" ht="15" customHeight="1" outlineLevel="1" x14ac:dyDescent="0.3">
      <c r="A14" s="7" t="s">
        <v>35</v>
      </c>
      <c r="B14" s="77" t="s">
        <v>36</v>
      </c>
      <c r="C14" s="77" t="s">
        <v>36</v>
      </c>
      <c r="D14" s="77" t="s">
        <v>36</v>
      </c>
      <c r="E14" s="77" t="s">
        <v>36</v>
      </c>
      <c r="F14" s="77" t="s">
        <v>36</v>
      </c>
      <c r="G14" s="77" t="s">
        <v>36</v>
      </c>
      <c r="H14" s="77" t="s">
        <v>36</v>
      </c>
      <c r="I14" s="77" t="s">
        <v>36</v>
      </c>
      <c r="J14" s="77" t="s">
        <v>36</v>
      </c>
      <c r="K14" s="77" t="s">
        <v>36</v>
      </c>
      <c r="L14" s="77" t="s">
        <v>36</v>
      </c>
      <c r="M14" s="77" t="s">
        <v>36</v>
      </c>
      <c r="N14" s="77" t="s">
        <v>36</v>
      </c>
      <c r="O14" s="77" t="s">
        <v>36</v>
      </c>
      <c r="P14" s="77" t="s">
        <v>36</v>
      </c>
    </row>
    <row r="15" spans="1:16" ht="15" customHeight="1" outlineLevel="1" x14ac:dyDescent="0.3">
      <c r="A15" s="7" t="s">
        <v>37</v>
      </c>
      <c r="B15" s="77" t="s">
        <v>437</v>
      </c>
      <c r="C15" s="77" t="s">
        <v>437</v>
      </c>
      <c r="D15" s="77" t="s">
        <v>437</v>
      </c>
      <c r="E15" s="77" t="s">
        <v>437</v>
      </c>
      <c r="F15" s="77" t="s">
        <v>437</v>
      </c>
      <c r="G15" s="77" t="s">
        <v>437</v>
      </c>
      <c r="H15" s="77" t="s">
        <v>437</v>
      </c>
      <c r="I15" s="77" t="s">
        <v>437</v>
      </c>
      <c r="J15" s="77" t="s">
        <v>437</v>
      </c>
      <c r="K15" s="77" t="s">
        <v>437</v>
      </c>
      <c r="L15" s="77" t="s">
        <v>437</v>
      </c>
      <c r="M15" s="77" t="s">
        <v>437</v>
      </c>
      <c r="N15" s="77" t="s">
        <v>437</v>
      </c>
      <c r="O15" s="77" t="s">
        <v>437</v>
      </c>
      <c r="P15" s="77" t="s">
        <v>437</v>
      </c>
    </row>
    <row r="17" spans="1:16" x14ac:dyDescent="0.3">
      <c r="A17" s="8" t="s">
        <v>438</v>
      </c>
      <c r="B17" s="6"/>
      <c r="C17" s="6"/>
      <c r="D17" s="6"/>
      <c r="E17" s="6"/>
      <c r="F17" s="6"/>
      <c r="G17" s="6"/>
      <c r="H17" s="6"/>
      <c r="I17" s="6"/>
      <c r="J17" s="6"/>
      <c r="K17" s="6"/>
      <c r="L17" s="6"/>
      <c r="M17" s="6"/>
      <c r="N17" s="6"/>
      <c r="O17" s="6"/>
      <c r="P17" s="6"/>
    </row>
    <row r="18" spans="1:16" x14ac:dyDescent="0.3">
      <c r="A18" s="8" t="s">
        <v>40</v>
      </c>
      <c r="B18" s="9" t="s">
        <v>41</v>
      </c>
      <c r="C18" s="9" t="s">
        <v>42</v>
      </c>
      <c r="D18" s="9" t="s">
        <v>43</v>
      </c>
      <c r="E18" s="9" t="s">
        <v>44</v>
      </c>
      <c r="F18" s="9" t="s">
        <v>45</v>
      </c>
      <c r="G18" s="9" t="s">
        <v>46</v>
      </c>
      <c r="H18" s="9" t="s">
        <v>47</v>
      </c>
      <c r="I18" s="9" t="s">
        <v>48</v>
      </c>
      <c r="J18" s="9" t="s">
        <v>49</v>
      </c>
      <c r="K18" s="9" t="s">
        <v>50</v>
      </c>
      <c r="L18" s="9" t="s">
        <v>51</v>
      </c>
      <c r="M18" s="9" t="s">
        <v>52</v>
      </c>
      <c r="N18" s="9" t="s">
        <v>53</v>
      </c>
      <c r="O18" s="9" t="s">
        <v>54</v>
      </c>
      <c r="P18" s="9" t="s">
        <v>55</v>
      </c>
    </row>
    <row r="19" spans="1:16" ht="15" customHeight="1" x14ac:dyDescent="0.3">
      <c r="A19" s="10" t="s">
        <v>439</v>
      </c>
      <c r="B19" s="11"/>
      <c r="C19" s="11"/>
      <c r="D19" s="11"/>
      <c r="E19" s="11"/>
      <c r="F19" s="11"/>
      <c r="G19" s="11"/>
      <c r="H19" s="11"/>
      <c r="I19" s="11"/>
      <c r="J19" s="11"/>
      <c r="K19" s="11"/>
      <c r="L19" s="11"/>
      <c r="M19" s="11"/>
      <c r="N19" s="11"/>
      <c r="O19" s="11"/>
      <c r="P19" s="11"/>
    </row>
    <row r="20" spans="1:16" ht="15" customHeight="1" x14ac:dyDescent="0.3">
      <c r="A20" s="12" t="s">
        <v>440</v>
      </c>
      <c r="B20" s="13">
        <v>146.22</v>
      </c>
      <c r="C20" s="22">
        <v>-947.78</v>
      </c>
      <c r="D20" s="13">
        <v>195.9</v>
      </c>
      <c r="E20" s="13">
        <v>122.71</v>
      </c>
      <c r="F20" s="13">
        <v>269.33</v>
      </c>
      <c r="G20" s="23">
        <v>-18.38</v>
      </c>
      <c r="H20" s="15">
        <v>19.75</v>
      </c>
      <c r="I20" s="23">
        <v>-14.62</v>
      </c>
      <c r="J20" s="15">
        <v>67.239999999999995</v>
      </c>
      <c r="K20" s="23">
        <v>-82.48</v>
      </c>
      <c r="L20" s="15">
        <v>10.53</v>
      </c>
      <c r="M20" s="23">
        <v>-0.47</v>
      </c>
      <c r="N20" s="15">
        <v>39.92</v>
      </c>
      <c r="O20" s="23">
        <v>-15.69</v>
      </c>
      <c r="P20" s="13">
        <v>130.41</v>
      </c>
    </row>
    <row r="21" spans="1:16" ht="15" customHeight="1" x14ac:dyDescent="0.3">
      <c r="A21" s="12" t="s">
        <v>441</v>
      </c>
      <c r="B21" s="13">
        <v>163.81</v>
      </c>
      <c r="C21" s="13">
        <v>1096.17</v>
      </c>
      <c r="D21" s="13">
        <v>178.47</v>
      </c>
      <c r="E21" s="13">
        <v>171.68</v>
      </c>
      <c r="F21" s="15">
        <v>68.87</v>
      </c>
      <c r="G21" s="15">
        <v>90.47</v>
      </c>
      <c r="H21" s="13">
        <v>139.43</v>
      </c>
      <c r="I21" s="15">
        <v>65.31</v>
      </c>
      <c r="J21" s="13">
        <v>115.12</v>
      </c>
      <c r="K21" s="13">
        <v>135.1</v>
      </c>
      <c r="L21" s="15">
        <v>38.520000000000003</v>
      </c>
      <c r="M21" s="15">
        <v>38.450000000000003</v>
      </c>
      <c r="N21" s="15">
        <v>66.16</v>
      </c>
      <c r="O21" s="15">
        <v>67.41</v>
      </c>
      <c r="P21" s="23">
        <v>-34.049999999999997</v>
      </c>
    </row>
    <row r="22" spans="1:16" ht="15" customHeight="1" x14ac:dyDescent="0.3">
      <c r="A22" s="14" t="s">
        <v>442</v>
      </c>
      <c r="B22" s="19"/>
      <c r="C22" s="19"/>
      <c r="D22" s="19"/>
      <c r="E22" s="23">
        <v>-6.81</v>
      </c>
      <c r="F22" s="22">
        <v>-115.77</v>
      </c>
      <c r="G22" s="19"/>
      <c r="H22" s="15">
        <v>36.33</v>
      </c>
      <c r="I22" s="15">
        <v>2.6</v>
      </c>
      <c r="J22" s="19"/>
      <c r="K22" s="15">
        <v>15.84</v>
      </c>
      <c r="L22" s="23">
        <v>-1.07</v>
      </c>
      <c r="M22" s="23">
        <v>-9.61</v>
      </c>
      <c r="N22" s="19"/>
      <c r="O22" s="19"/>
      <c r="P22" s="23">
        <v>-94.84</v>
      </c>
    </row>
    <row r="23" spans="1:16" ht="15" customHeight="1" x14ac:dyDescent="0.3">
      <c r="A23" s="14" t="s">
        <v>443</v>
      </c>
      <c r="B23" s="23">
        <v>-19.89</v>
      </c>
      <c r="C23" s="19"/>
      <c r="D23" s="19"/>
      <c r="E23" s="19"/>
      <c r="F23" s="19"/>
      <c r="G23" s="19"/>
      <c r="H23" s="19"/>
      <c r="I23" s="19"/>
      <c r="J23" s="19"/>
      <c r="K23" s="19"/>
      <c r="L23" s="19"/>
      <c r="M23" s="19"/>
      <c r="N23" s="19"/>
      <c r="O23" s="19"/>
      <c r="P23" s="19"/>
    </row>
    <row r="24" spans="1:16" ht="15" customHeight="1" x14ac:dyDescent="0.3">
      <c r="A24" s="14" t="s">
        <v>444</v>
      </c>
      <c r="B24" s="15">
        <v>29.06</v>
      </c>
      <c r="C24" s="15">
        <v>24.79</v>
      </c>
      <c r="D24" s="23">
        <v>-20.21</v>
      </c>
      <c r="E24" s="23">
        <v>-6.18</v>
      </c>
      <c r="F24" s="23">
        <v>-21.68</v>
      </c>
      <c r="G24" s="23">
        <v>-4.1399999999999997</v>
      </c>
      <c r="H24" s="15">
        <v>7.51</v>
      </c>
      <c r="I24" s="23">
        <v>-23.21</v>
      </c>
      <c r="J24" s="15">
        <v>5.61</v>
      </c>
      <c r="K24" s="15">
        <v>58.91</v>
      </c>
      <c r="L24" s="23">
        <v>-2.09</v>
      </c>
      <c r="M24" s="15">
        <v>12.8</v>
      </c>
      <c r="N24" s="23">
        <v>-0.16</v>
      </c>
      <c r="O24" s="15">
        <v>10.49</v>
      </c>
      <c r="P24" s="23">
        <v>-17.75</v>
      </c>
    </row>
    <row r="25" spans="1:16" ht="15" customHeight="1" x14ac:dyDescent="0.3">
      <c r="A25" s="14" t="s">
        <v>445</v>
      </c>
      <c r="B25" s="13">
        <v>155.22999999999999</v>
      </c>
      <c r="C25" s="13">
        <v>1107.1099999999999</v>
      </c>
      <c r="D25" s="13">
        <v>160.43</v>
      </c>
      <c r="E25" s="13">
        <v>161.91999999999999</v>
      </c>
      <c r="F25" s="13">
        <v>107.16</v>
      </c>
      <c r="G25" s="15">
        <v>86.99</v>
      </c>
      <c r="H25" s="15">
        <v>63.99</v>
      </c>
      <c r="I25" s="15">
        <v>92.08</v>
      </c>
      <c r="J25" s="15">
        <v>58.58</v>
      </c>
      <c r="K25" s="15">
        <v>76.569999999999993</v>
      </c>
      <c r="L25" s="15">
        <v>32.18</v>
      </c>
      <c r="M25" s="15">
        <v>30.52</v>
      </c>
      <c r="N25" s="15">
        <v>49.33</v>
      </c>
      <c r="O25" s="15">
        <v>40.07</v>
      </c>
      <c r="P25" s="15">
        <v>44.89</v>
      </c>
    </row>
    <row r="26" spans="1:16" ht="15" customHeight="1" x14ac:dyDescent="0.3">
      <c r="A26" s="18" t="s">
        <v>446</v>
      </c>
      <c r="B26" s="13">
        <v>155.22999999999999</v>
      </c>
      <c r="C26" s="13">
        <v>155.1</v>
      </c>
      <c r="D26" s="13">
        <v>160.43</v>
      </c>
      <c r="E26" s="13">
        <v>161.91999999999999</v>
      </c>
      <c r="F26" s="13">
        <v>107.16</v>
      </c>
      <c r="G26" s="15">
        <v>86.99</v>
      </c>
      <c r="H26" s="15">
        <v>63.99</v>
      </c>
      <c r="I26" s="15">
        <v>56.34</v>
      </c>
      <c r="J26" s="15">
        <v>58.58</v>
      </c>
      <c r="K26" s="15">
        <v>51.95</v>
      </c>
      <c r="L26" s="15">
        <v>32.18</v>
      </c>
      <c r="M26" s="15">
        <v>30.52</v>
      </c>
      <c r="N26" s="15">
        <v>49.33</v>
      </c>
      <c r="O26" s="15">
        <v>40.07</v>
      </c>
      <c r="P26" s="15">
        <v>44.89</v>
      </c>
    </row>
    <row r="27" spans="1:16" ht="15" customHeight="1" x14ac:dyDescent="0.3">
      <c r="A27" s="18" t="s">
        <v>447</v>
      </c>
      <c r="B27" s="19"/>
      <c r="C27" s="13">
        <v>952</v>
      </c>
      <c r="D27" s="19"/>
      <c r="E27" s="19"/>
      <c r="F27" s="19"/>
      <c r="G27" s="19"/>
      <c r="H27" s="19"/>
      <c r="I27" s="15">
        <v>35.729999999999997</v>
      </c>
      <c r="J27" s="19"/>
      <c r="K27" s="15">
        <v>24.61</v>
      </c>
      <c r="L27" s="19"/>
      <c r="M27" s="19"/>
      <c r="N27" s="19"/>
      <c r="O27" s="19"/>
      <c r="P27" s="19"/>
    </row>
    <row r="28" spans="1:16" ht="15" customHeight="1" x14ac:dyDescent="0.3">
      <c r="A28" s="14" t="s">
        <v>448</v>
      </c>
      <c r="B28" s="23">
        <v>-0.15</v>
      </c>
      <c r="C28" s="23">
        <v>-63.7</v>
      </c>
      <c r="D28" s="15">
        <v>12.92</v>
      </c>
      <c r="E28" s="15">
        <v>9.73</v>
      </c>
      <c r="F28" s="15">
        <v>80.64</v>
      </c>
      <c r="G28" s="23">
        <v>-4.66</v>
      </c>
      <c r="H28" s="15">
        <v>19.350000000000001</v>
      </c>
      <c r="I28" s="23">
        <v>-16.079999999999998</v>
      </c>
      <c r="J28" s="15">
        <v>39.270000000000003</v>
      </c>
      <c r="K28" s="23">
        <v>-26.83</v>
      </c>
      <c r="L28" s="15">
        <v>5.38</v>
      </c>
      <c r="M28" s="23">
        <v>-4.34</v>
      </c>
      <c r="N28" s="15">
        <v>8.3000000000000007</v>
      </c>
      <c r="O28" s="15">
        <v>9.7899999999999991</v>
      </c>
      <c r="P28" s="15">
        <v>25.82</v>
      </c>
    </row>
    <row r="29" spans="1:16" ht="15" customHeight="1" x14ac:dyDescent="0.3">
      <c r="A29" s="14" t="s">
        <v>449</v>
      </c>
      <c r="B29" s="23">
        <v>-18.420000000000002</v>
      </c>
      <c r="C29" s="15">
        <v>2.34</v>
      </c>
      <c r="D29" s="15">
        <v>5.87</v>
      </c>
      <c r="E29" s="22">
        <v>-112.06</v>
      </c>
      <c r="F29" s="15">
        <v>0.66</v>
      </c>
      <c r="G29" s="23">
        <v>-2.62</v>
      </c>
      <c r="H29" s="15">
        <v>1.51</v>
      </c>
      <c r="I29" s="23">
        <v>-5.94</v>
      </c>
      <c r="J29" s="15">
        <v>0.54</v>
      </c>
      <c r="K29" s="15">
        <v>0.48</v>
      </c>
      <c r="L29" s="23">
        <v>-2.87</v>
      </c>
      <c r="M29" s="15">
        <v>3.3</v>
      </c>
      <c r="N29" s="15">
        <v>0.47</v>
      </c>
      <c r="O29" s="23">
        <v>-0.12</v>
      </c>
      <c r="P29" s="23">
        <v>-1.06</v>
      </c>
    </row>
    <row r="30" spans="1:16" ht="15" customHeight="1" x14ac:dyDescent="0.3">
      <c r="A30" s="14" t="s">
        <v>450</v>
      </c>
      <c r="B30" s="19"/>
      <c r="C30" s="19"/>
      <c r="D30" s="19"/>
      <c r="E30" s="15">
        <v>99.12</v>
      </c>
      <c r="F30" s="19"/>
      <c r="G30" s="19"/>
      <c r="H30" s="19"/>
      <c r="I30" s="19"/>
      <c r="J30" s="19"/>
      <c r="K30" s="19"/>
      <c r="L30" s="19"/>
      <c r="M30" s="19"/>
      <c r="N30" s="19"/>
      <c r="O30" s="19"/>
      <c r="P30" s="19"/>
    </row>
    <row r="31" spans="1:16" ht="15" customHeight="1" x14ac:dyDescent="0.3">
      <c r="A31" s="14" t="s">
        <v>451</v>
      </c>
      <c r="B31" s="15">
        <v>17.989999999999998</v>
      </c>
      <c r="C31" s="15">
        <v>25.63</v>
      </c>
      <c r="D31" s="15">
        <v>19.46</v>
      </c>
      <c r="E31" s="15">
        <v>25.96</v>
      </c>
      <c r="F31" s="15">
        <v>17.86</v>
      </c>
      <c r="G31" s="15">
        <v>14.91</v>
      </c>
      <c r="H31" s="15">
        <v>10.74</v>
      </c>
      <c r="I31" s="15">
        <v>15.87</v>
      </c>
      <c r="J31" s="15">
        <v>11.13</v>
      </c>
      <c r="K31" s="15">
        <v>10.130000000000001</v>
      </c>
      <c r="L31" s="15">
        <v>6.99</v>
      </c>
      <c r="M31" s="15">
        <v>5.78</v>
      </c>
      <c r="N31" s="15">
        <v>8.2200000000000006</v>
      </c>
      <c r="O31" s="15">
        <v>7.2</v>
      </c>
      <c r="P31" s="15">
        <v>8.89</v>
      </c>
    </row>
    <row r="32" spans="1:16" ht="15" customHeight="1" x14ac:dyDescent="0.3">
      <c r="A32" s="12" t="s">
        <v>452</v>
      </c>
      <c r="B32" s="13">
        <v>310.02999999999997</v>
      </c>
      <c r="C32" s="13">
        <v>148.38</v>
      </c>
      <c r="D32" s="13">
        <v>374.37</v>
      </c>
      <c r="E32" s="13">
        <v>294.39</v>
      </c>
      <c r="F32" s="13">
        <v>338.2</v>
      </c>
      <c r="G32" s="15">
        <v>72.09</v>
      </c>
      <c r="H32" s="13">
        <v>159.18</v>
      </c>
      <c r="I32" s="15">
        <v>50.69</v>
      </c>
      <c r="J32" s="13">
        <v>182.36</v>
      </c>
      <c r="K32" s="15">
        <v>52.62</v>
      </c>
      <c r="L32" s="15">
        <v>49.05</v>
      </c>
      <c r="M32" s="15">
        <v>37.97</v>
      </c>
      <c r="N32" s="13">
        <v>106.09</v>
      </c>
      <c r="O32" s="15">
        <v>51.73</v>
      </c>
      <c r="P32" s="15">
        <v>96.36</v>
      </c>
    </row>
    <row r="33" spans="1:16" ht="15" customHeight="1" x14ac:dyDescent="0.3">
      <c r="A33" s="12" t="s">
        <v>453</v>
      </c>
      <c r="B33" s="15">
        <v>55.65</v>
      </c>
      <c r="C33" s="23">
        <v>-36.78</v>
      </c>
      <c r="D33" s="23">
        <v>-62.94</v>
      </c>
      <c r="E33" s="23">
        <v>-63.45</v>
      </c>
      <c r="F33" s="15">
        <v>17.13</v>
      </c>
      <c r="G33" s="23">
        <v>-99.55</v>
      </c>
      <c r="H33" s="23">
        <v>-28.95</v>
      </c>
      <c r="I33" s="23">
        <v>-20.51</v>
      </c>
      <c r="J33" s="23">
        <v>-35.86</v>
      </c>
      <c r="K33" s="23">
        <v>-43.79</v>
      </c>
      <c r="L33" s="15">
        <v>29.24</v>
      </c>
      <c r="M33" s="23">
        <v>-31.21</v>
      </c>
      <c r="N33" s="15">
        <v>66.5</v>
      </c>
      <c r="O33" s="23">
        <v>-36.94</v>
      </c>
      <c r="P33" s="23">
        <v>-30.39</v>
      </c>
    </row>
    <row r="34" spans="1:16" ht="15" customHeight="1" x14ac:dyDescent="0.3">
      <c r="A34" s="14" t="s">
        <v>454</v>
      </c>
      <c r="B34" s="15">
        <v>42.35</v>
      </c>
      <c r="C34" s="23">
        <v>-10.44</v>
      </c>
      <c r="D34" s="23">
        <v>-26.87</v>
      </c>
      <c r="E34" s="23">
        <v>-31.62</v>
      </c>
      <c r="F34" s="23">
        <v>-40.520000000000003</v>
      </c>
      <c r="G34" s="22">
        <v>-104.96</v>
      </c>
      <c r="H34" s="23">
        <v>-22.13</v>
      </c>
      <c r="I34" s="23">
        <v>-22.52</v>
      </c>
      <c r="J34" s="19"/>
      <c r="K34" s="19"/>
      <c r="L34" s="19"/>
      <c r="M34" s="19"/>
      <c r="N34" s="15">
        <v>44.59</v>
      </c>
      <c r="O34" s="23">
        <v>-25.58</v>
      </c>
      <c r="P34" s="23">
        <v>-5.26</v>
      </c>
    </row>
    <row r="35" spans="1:16" ht="15" customHeight="1" x14ac:dyDescent="0.3">
      <c r="A35" s="14" t="s">
        <v>455</v>
      </c>
      <c r="B35" s="19"/>
      <c r="C35" s="19"/>
      <c r="D35" s="19"/>
      <c r="E35" s="19"/>
      <c r="F35" s="19"/>
      <c r="G35" s="19"/>
      <c r="H35" s="19"/>
      <c r="I35" s="19"/>
      <c r="J35" s="19"/>
      <c r="K35" s="19"/>
      <c r="L35" s="19"/>
      <c r="M35" s="19"/>
      <c r="N35" s="15">
        <v>0.35</v>
      </c>
      <c r="O35" s="15">
        <v>1.08</v>
      </c>
      <c r="P35" s="23">
        <v>-0.87</v>
      </c>
    </row>
    <row r="36" spans="1:16" ht="15" customHeight="1" x14ac:dyDescent="0.3">
      <c r="A36" s="14" t="s">
        <v>456</v>
      </c>
      <c r="B36" s="19"/>
      <c r="C36" s="19"/>
      <c r="D36" s="19"/>
      <c r="E36" s="19"/>
      <c r="F36" s="19"/>
      <c r="G36" s="19"/>
      <c r="H36" s="19"/>
      <c r="I36" s="19"/>
      <c r="J36" s="19"/>
      <c r="K36" s="19"/>
      <c r="L36" s="19"/>
      <c r="M36" s="19"/>
      <c r="N36" s="15">
        <v>5.9</v>
      </c>
      <c r="O36" s="15">
        <v>4.84</v>
      </c>
      <c r="P36" s="23">
        <v>-62.77</v>
      </c>
    </row>
    <row r="37" spans="1:16" ht="15" customHeight="1" x14ac:dyDescent="0.3">
      <c r="A37" s="14" t="s">
        <v>457</v>
      </c>
      <c r="B37" s="23">
        <v>-7.74</v>
      </c>
      <c r="C37" s="23">
        <v>-4.63</v>
      </c>
      <c r="D37" s="15">
        <v>5.65</v>
      </c>
      <c r="E37" s="15">
        <v>12.49</v>
      </c>
      <c r="F37" s="15">
        <v>22.64</v>
      </c>
      <c r="G37" s="23">
        <v>-11.35</v>
      </c>
      <c r="H37" s="23">
        <v>-6.21</v>
      </c>
      <c r="I37" s="19"/>
      <c r="J37" s="19"/>
      <c r="K37" s="19"/>
      <c r="L37" s="19"/>
      <c r="M37" s="19"/>
      <c r="N37" s="19"/>
      <c r="O37" s="19"/>
      <c r="P37" s="19"/>
    </row>
    <row r="38" spans="1:16" ht="15" customHeight="1" x14ac:dyDescent="0.3">
      <c r="A38" s="14" t="s">
        <v>458</v>
      </c>
      <c r="B38" s="15">
        <v>13.18</v>
      </c>
      <c r="C38" s="23">
        <v>-3.54</v>
      </c>
      <c r="D38" s="15">
        <v>7.31</v>
      </c>
      <c r="E38" s="15">
        <v>18.53</v>
      </c>
      <c r="F38" s="15">
        <v>19.52</v>
      </c>
      <c r="G38" s="15">
        <v>1.57</v>
      </c>
      <c r="H38" s="15">
        <v>0.97</v>
      </c>
      <c r="I38" s="23">
        <v>-7.26</v>
      </c>
      <c r="J38" s="19"/>
      <c r="K38" s="19"/>
      <c r="L38" s="19"/>
      <c r="M38" s="19"/>
      <c r="N38" s="15">
        <v>5.63</v>
      </c>
      <c r="O38" s="23">
        <v>-16.739999999999998</v>
      </c>
      <c r="P38" s="15">
        <v>12.07</v>
      </c>
    </row>
    <row r="39" spans="1:16" ht="15" customHeight="1" x14ac:dyDescent="0.3">
      <c r="A39" s="14" t="s">
        <v>459</v>
      </c>
      <c r="B39" s="15">
        <v>10.01</v>
      </c>
      <c r="C39" s="15">
        <v>3.16</v>
      </c>
      <c r="D39" s="23">
        <v>-22.97</v>
      </c>
      <c r="E39" s="15">
        <v>24.87</v>
      </c>
      <c r="F39" s="15">
        <v>7.16</v>
      </c>
      <c r="G39" s="15">
        <v>17.09</v>
      </c>
      <c r="H39" s="15">
        <v>7.69</v>
      </c>
      <c r="I39" s="15">
        <v>15.82</v>
      </c>
      <c r="J39" s="19"/>
      <c r="K39" s="19"/>
      <c r="L39" s="19"/>
      <c r="M39" s="19"/>
      <c r="N39" s="15">
        <v>2.72</v>
      </c>
      <c r="O39" s="23">
        <v>-10.039999999999999</v>
      </c>
      <c r="P39" s="15">
        <v>8.43</v>
      </c>
    </row>
    <row r="40" spans="1:16" ht="15" customHeight="1" x14ac:dyDescent="0.3">
      <c r="A40" s="14" t="s">
        <v>460</v>
      </c>
      <c r="B40" s="15">
        <v>3.3</v>
      </c>
      <c r="C40" s="23">
        <v>-6</v>
      </c>
      <c r="D40" s="23">
        <v>-3.11</v>
      </c>
      <c r="E40" s="23">
        <v>-7.08</v>
      </c>
      <c r="F40" s="15">
        <v>3.4</v>
      </c>
      <c r="G40" s="15">
        <v>0.22</v>
      </c>
      <c r="H40" s="15">
        <v>2.92</v>
      </c>
      <c r="I40" s="19"/>
      <c r="J40" s="19"/>
      <c r="K40" s="19"/>
      <c r="L40" s="19"/>
      <c r="M40" s="19"/>
      <c r="N40" s="19"/>
      <c r="O40" s="19"/>
      <c r="P40" s="19"/>
    </row>
    <row r="41" spans="1:16" ht="15" customHeight="1" x14ac:dyDescent="0.3">
      <c r="A41" s="14" t="s">
        <v>461</v>
      </c>
      <c r="B41" s="23">
        <v>-5.44</v>
      </c>
      <c r="C41" s="23">
        <v>-15.33</v>
      </c>
      <c r="D41" s="23">
        <v>-22.94</v>
      </c>
      <c r="E41" s="23">
        <v>-80.64</v>
      </c>
      <c r="F41" s="15">
        <v>4.93</v>
      </c>
      <c r="G41" s="23">
        <v>-2.12</v>
      </c>
      <c r="H41" s="23">
        <v>-12.18</v>
      </c>
      <c r="I41" s="23">
        <v>-6.55</v>
      </c>
      <c r="J41" s="23">
        <v>-35.86</v>
      </c>
      <c r="K41" s="23">
        <v>-43.79</v>
      </c>
      <c r="L41" s="15">
        <v>29.24</v>
      </c>
      <c r="M41" s="23">
        <v>-31.21</v>
      </c>
      <c r="N41" s="15">
        <v>7.3</v>
      </c>
      <c r="O41" s="15">
        <v>9.52</v>
      </c>
      <c r="P41" s="15">
        <v>18.02</v>
      </c>
    </row>
    <row r="42" spans="1:16" ht="15" customHeight="1" x14ac:dyDescent="0.3">
      <c r="A42" s="16" t="s">
        <v>462</v>
      </c>
      <c r="B42" s="17">
        <v>365.68</v>
      </c>
      <c r="C42" s="17">
        <v>111.6</v>
      </c>
      <c r="D42" s="17">
        <v>311.42</v>
      </c>
      <c r="E42" s="17">
        <v>230.94</v>
      </c>
      <c r="F42" s="17">
        <v>355.33</v>
      </c>
      <c r="G42" s="21">
        <v>-27.45</v>
      </c>
      <c r="H42" s="17">
        <v>130.22999999999999</v>
      </c>
      <c r="I42" s="20">
        <v>30.19</v>
      </c>
      <c r="J42" s="17">
        <v>146.49</v>
      </c>
      <c r="K42" s="20">
        <v>8.83</v>
      </c>
      <c r="L42" s="20">
        <v>78.3</v>
      </c>
      <c r="M42" s="20">
        <v>6.76</v>
      </c>
      <c r="N42" s="17">
        <v>172.58</v>
      </c>
      <c r="O42" s="20">
        <v>14.79</v>
      </c>
      <c r="P42" s="20">
        <v>65.97</v>
      </c>
    </row>
    <row r="43" spans="1:16" ht="15" customHeight="1" x14ac:dyDescent="0.3">
      <c r="A43" s="10" t="s">
        <v>463</v>
      </c>
      <c r="B43" s="11"/>
      <c r="C43" s="11"/>
      <c r="D43" s="11"/>
      <c r="E43" s="11"/>
      <c r="F43" s="11"/>
      <c r="G43" s="11"/>
      <c r="H43" s="11"/>
      <c r="I43" s="11"/>
      <c r="J43" s="11"/>
      <c r="K43" s="11"/>
      <c r="L43" s="11"/>
      <c r="M43" s="11"/>
      <c r="N43" s="11"/>
      <c r="O43" s="11"/>
      <c r="P43" s="11"/>
    </row>
    <row r="44" spans="1:16" ht="15" customHeight="1" x14ac:dyDescent="0.3">
      <c r="A44" s="12" t="s">
        <v>464</v>
      </c>
      <c r="B44" s="15">
        <v>44.79</v>
      </c>
      <c r="C44" s="15">
        <v>59.63</v>
      </c>
      <c r="D44" s="15">
        <v>43.12</v>
      </c>
      <c r="E44" s="15">
        <v>41.11</v>
      </c>
      <c r="F44" s="15">
        <v>18.47</v>
      </c>
      <c r="G44" s="15">
        <v>78.95</v>
      </c>
      <c r="H44" s="15">
        <v>58.95</v>
      </c>
      <c r="I44" s="15">
        <v>27.68</v>
      </c>
      <c r="J44" s="15">
        <v>27.89</v>
      </c>
      <c r="K44" s="15">
        <v>6.88</v>
      </c>
      <c r="L44" s="15">
        <v>10.44</v>
      </c>
      <c r="M44" s="15">
        <v>15.82</v>
      </c>
      <c r="N44" s="15">
        <v>30.21</v>
      </c>
      <c r="O44" s="13">
        <v>226.59</v>
      </c>
      <c r="P44" s="15">
        <v>18.329999999999998</v>
      </c>
    </row>
    <row r="45" spans="1:16" ht="15" customHeight="1" x14ac:dyDescent="0.3">
      <c r="A45" s="14" t="s">
        <v>465</v>
      </c>
      <c r="B45" s="15">
        <v>44.79</v>
      </c>
      <c r="C45" s="15">
        <v>59.63</v>
      </c>
      <c r="D45" s="15">
        <v>43.12</v>
      </c>
      <c r="E45" s="15">
        <v>40.68</v>
      </c>
      <c r="F45" s="15">
        <v>16.579999999999998</v>
      </c>
      <c r="G45" s="15">
        <v>54.08</v>
      </c>
      <c r="H45" s="15">
        <v>51.72</v>
      </c>
      <c r="I45" s="15">
        <v>17.93</v>
      </c>
      <c r="J45" s="15">
        <v>27.89</v>
      </c>
      <c r="K45" s="15">
        <v>6.88</v>
      </c>
      <c r="L45" s="15">
        <v>10.44</v>
      </c>
      <c r="M45" s="15">
        <v>15.82</v>
      </c>
      <c r="N45" s="15">
        <v>30.21</v>
      </c>
      <c r="O45" s="15">
        <v>10.45</v>
      </c>
      <c r="P45" s="15">
        <v>17.48</v>
      </c>
    </row>
    <row r="46" spans="1:16" ht="15" customHeight="1" x14ac:dyDescent="0.3">
      <c r="A46" s="18" t="s">
        <v>466</v>
      </c>
      <c r="B46" s="15">
        <v>65.260000000000005</v>
      </c>
      <c r="C46" s="15">
        <v>59.63</v>
      </c>
      <c r="D46" s="15">
        <v>45.79</v>
      </c>
      <c r="E46" s="15">
        <v>60.74</v>
      </c>
      <c r="F46" s="15">
        <v>44.95</v>
      </c>
      <c r="G46" s="15">
        <v>61.04</v>
      </c>
      <c r="H46" s="15">
        <v>53.25</v>
      </c>
      <c r="I46" s="15">
        <v>17.93</v>
      </c>
      <c r="J46" s="15">
        <v>27.95</v>
      </c>
      <c r="K46" s="15">
        <v>23.11</v>
      </c>
      <c r="L46" s="15">
        <v>16.3</v>
      </c>
      <c r="M46" s="15">
        <v>15.86</v>
      </c>
      <c r="N46" s="15">
        <v>30.21</v>
      </c>
      <c r="O46" s="15">
        <v>12.18</v>
      </c>
      <c r="P46" s="15">
        <v>18.239999999999998</v>
      </c>
    </row>
    <row r="47" spans="1:16" ht="15" customHeight="1" x14ac:dyDescent="0.3">
      <c r="A47" s="18" t="s">
        <v>467</v>
      </c>
      <c r="B47" s="15">
        <v>20.46</v>
      </c>
      <c r="C47" s="19"/>
      <c r="D47" s="15">
        <v>2.67</v>
      </c>
      <c r="E47" s="15">
        <v>20.059999999999999</v>
      </c>
      <c r="F47" s="15">
        <v>28.37</v>
      </c>
      <c r="G47" s="15">
        <v>6.96</v>
      </c>
      <c r="H47" s="15">
        <v>1.53</v>
      </c>
      <c r="I47" s="19"/>
      <c r="J47" s="15">
        <v>0.06</v>
      </c>
      <c r="K47" s="15">
        <v>16.22</v>
      </c>
      <c r="L47" s="15">
        <v>5.86</v>
      </c>
      <c r="M47" s="15">
        <v>0.04</v>
      </c>
      <c r="N47" s="19"/>
      <c r="O47" s="15">
        <v>1.74</v>
      </c>
      <c r="P47" s="15">
        <v>0.77</v>
      </c>
    </row>
    <row r="48" spans="1:16" ht="15" customHeight="1" x14ac:dyDescent="0.3">
      <c r="A48" s="14" t="s">
        <v>468</v>
      </c>
      <c r="B48" s="19"/>
      <c r="C48" s="19"/>
      <c r="D48" s="19"/>
      <c r="E48" s="15">
        <v>0.43</v>
      </c>
      <c r="F48" s="15">
        <v>1.88</v>
      </c>
      <c r="G48" s="15">
        <v>24.86</v>
      </c>
      <c r="H48" s="15">
        <v>7.23</v>
      </c>
      <c r="I48" s="15">
        <v>9.74</v>
      </c>
      <c r="J48" s="19"/>
      <c r="K48" s="19"/>
      <c r="L48" s="19"/>
      <c r="M48" s="19"/>
      <c r="N48" s="19"/>
      <c r="O48" s="13">
        <v>216.14</v>
      </c>
      <c r="P48" s="15">
        <v>0.85</v>
      </c>
    </row>
    <row r="49" spans="1:16" ht="15" customHeight="1" x14ac:dyDescent="0.3">
      <c r="A49" s="18" t="s">
        <v>469</v>
      </c>
      <c r="B49" s="19"/>
      <c r="C49" s="19"/>
      <c r="D49" s="19"/>
      <c r="E49" s="15">
        <v>0.43</v>
      </c>
      <c r="F49" s="15">
        <v>1.88</v>
      </c>
      <c r="G49" s="15">
        <v>24.86</v>
      </c>
      <c r="H49" s="15">
        <v>7.23</v>
      </c>
      <c r="I49" s="15">
        <v>9.74</v>
      </c>
      <c r="J49" s="19"/>
      <c r="K49" s="19"/>
      <c r="L49" s="19"/>
      <c r="M49" s="19"/>
      <c r="N49" s="19"/>
      <c r="O49" s="13">
        <v>216.14</v>
      </c>
      <c r="P49" s="15">
        <v>0.85</v>
      </c>
    </row>
    <row r="50" spans="1:16" ht="15" customHeight="1" x14ac:dyDescent="0.3">
      <c r="A50" s="14" t="s">
        <v>470</v>
      </c>
      <c r="B50" s="15">
        <v>65.260000000000005</v>
      </c>
      <c r="C50" s="15">
        <v>59.63</v>
      </c>
      <c r="D50" s="15">
        <v>45.79</v>
      </c>
      <c r="E50" s="15">
        <v>61.17</v>
      </c>
      <c r="F50" s="15">
        <v>46.83</v>
      </c>
      <c r="G50" s="15">
        <v>85.91</v>
      </c>
      <c r="H50" s="15">
        <v>60.48</v>
      </c>
      <c r="I50" s="15">
        <v>27.68</v>
      </c>
      <c r="J50" s="15">
        <v>27.95</v>
      </c>
      <c r="K50" s="15">
        <v>23.11</v>
      </c>
      <c r="L50" s="15">
        <v>16.3</v>
      </c>
      <c r="M50" s="15">
        <v>15.86</v>
      </c>
      <c r="N50" s="15">
        <v>30.21</v>
      </c>
      <c r="O50" s="13">
        <v>228.33</v>
      </c>
      <c r="P50" s="15">
        <v>19.09</v>
      </c>
    </row>
    <row r="51" spans="1:16" ht="15" customHeight="1" x14ac:dyDescent="0.3">
      <c r="A51" s="12" t="s">
        <v>471</v>
      </c>
      <c r="B51" s="19"/>
      <c r="C51" s="19"/>
      <c r="D51" s="23">
        <v>-13.8</v>
      </c>
      <c r="E51" s="22">
        <v>-2452.7600000000002</v>
      </c>
      <c r="F51" s="15">
        <v>76.64</v>
      </c>
      <c r="G51" s="22">
        <v>-1190.42</v>
      </c>
      <c r="H51" s="22">
        <v>-149.47</v>
      </c>
      <c r="I51" s="22">
        <v>-280.94</v>
      </c>
      <c r="J51" s="23">
        <v>-43.5</v>
      </c>
      <c r="K51" s="23">
        <v>-46.84</v>
      </c>
      <c r="L51" s="22">
        <v>-149.28</v>
      </c>
      <c r="M51" s="19"/>
      <c r="N51" s="23">
        <v>-0.27</v>
      </c>
      <c r="O51" s="19"/>
      <c r="P51" s="19"/>
    </row>
    <row r="52" spans="1:16" ht="15" customHeight="1" x14ac:dyDescent="0.3">
      <c r="A52" s="14" t="s">
        <v>472</v>
      </c>
      <c r="B52" s="19"/>
      <c r="C52" s="19"/>
      <c r="D52" s="15">
        <v>13.8</v>
      </c>
      <c r="E52" s="13">
        <v>2677.76</v>
      </c>
      <c r="F52" s="15">
        <v>7.1</v>
      </c>
      <c r="G52" s="19"/>
      <c r="H52" s="13">
        <v>149.47</v>
      </c>
      <c r="I52" s="19"/>
      <c r="J52" s="19"/>
      <c r="K52" s="19"/>
      <c r="L52" s="19"/>
      <c r="M52" s="19"/>
      <c r="N52" s="19"/>
      <c r="O52" s="19"/>
      <c r="P52" s="19"/>
    </row>
    <row r="53" spans="1:16" ht="15" customHeight="1" x14ac:dyDescent="0.3">
      <c r="A53" s="14" t="s">
        <v>473</v>
      </c>
      <c r="B53" s="19"/>
      <c r="C53" s="19"/>
      <c r="D53" s="19"/>
      <c r="E53" s="13">
        <v>224.99</v>
      </c>
      <c r="F53" s="15">
        <v>83.74</v>
      </c>
      <c r="G53" s="19"/>
      <c r="H53" s="19"/>
      <c r="I53" s="19"/>
      <c r="J53" s="19"/>
      <c r="K53" s="19"/>
      <c r="L53" s="19"/>
      <c r="M53" s="19"/>
      <c r="N53" s="19"/>
      <c r="O53" s="19"/>
      <c r="P53" s="19"/>
    </row>
    <row r="54" spans="1:16" ht="15" customHeight="1" x14ac:dyDescent="0.3">
      <c r="A54" s="12" t="s">
        <v>474</v>
      </c>
      <c r="B54" s="23">
        <v>-1.73</v>
      </c>
      <c r="C54" s="23">
        <v>-1</v>
      </c>
      <c r="D54" s="23">
        <v>-7.37</v>
      </c>
      <c r="E54" s="23">
        <v>-12.03</v>
      </c>
      <c r="F54" s="23">
        <v>-8.31</v>
      </c>
      <c r="G54" s="23">
        <v>-1.87</v>
      </c>
      <c r="H54" s="23">
        <v>-0.56000000000000005</v>
      </c>
      <c r="I54" s="23">
        <v>-0.84</v>
      </c>
      <c r="J54" s="23">
        <v>-2.13</v>
      </c>
      <c r="K54" s="23">
        <v>-7.66</v>
      </c>
      <c r="L54" s="23">
        <v>-2.65</v>
      </c>
      <c r="M54" s="23">
        <v>-1.57</v>
      </c>
      <c r="N54" s="23">
        <v>-5.07</v>
      </c>
      <c r="O54" s="23">
        <v>-6.39</v>
      </c>
      <c r="P54" s="15">
        <v>10.51</v>
      </c>
    </row>
    <row r="55" spans="1:16" ht="15" customHeight="1" x14ac:dyDescent="0.3">
      <c r="A55" s="14" t="s">
        <v>475</v>
      </c>
      <c r="B55" s="23">
        <v>-1.73</v>
      </c>
      <c r="C55" s="23">
        <v>-1</v>
      </c>
      <c r="D55" s="23">
        <v>-7.37</v>
      </c>
      <c r="E55" s="23">
        <v>-12.03</v>
      </c>
      <c r="F55" s="23">
        <v>-8.31</v>
      </c>
      <c r="G55" s="23">
        <v>-1.87</v>
      </c>
      <c r="H55" s="23">
        <v>-0.56000000000000005</v>
      </c>
      <c r="I55" s="23">
        <v>-0.84</v>
      </c>
      <c r="J55" s="23">
        <v>-2.13</v>
      </c>
      <c r="K55" s="23">
        <v>-7.66</v>
      </c>
      <c r="L55" s="23">
        <v>-2.65</v>
      </c>
      <c r="M55" s="23">
        <v>-1.57</v>
      </c>
      <c r="N55" s="23">
        <v>-5.07</v>
      </c>
      <c r="O55" s="23">
        <v>-6.39</v>
      </c>
      <c r="P55" s="15">
        <v>10.51</v>
      </c>
    </row>
    <row r="56" spans="1:16" ht="15" customHeight="1" x14ac:dyDescent="0.3">
      <c r="A56" s="18" t="s">
        <v>476</v>
      </c>
      <c r="B56" s="19"/>
      <c r="C56" s="19"/>
      <c r="D56" s="19"/>
      <c r="E56" s="19"/>
      <c r="F56" s="19"/>
      <c r="G56" s="19"/>
      <c r="H56" s="19"/>
      <c r="I56" s="19"/>
      <c r="J56" s="19"/>
      <c r="K56" s="19"/>
      <c r="L56" s="19"/>
      <c r="M56" s="19"/>
      <c r="N56" s="19"/>
      <c r="O56" s="15">
        <v>2.65</v>
      </c>
      <c r="P56" s="15">
        <v>12.18</v>
      </c>
    </row>
    <row r="57" spans="1:16" ht="15" customHeight="1" x14ac:dyDescent="0.3">
      <c r="A57" s="18" t="s">
        <v>477</v>
      </c>
      <c r="B57" s="15">
        <v>1.73</v>
      </c>
      <c r="C57" s="15">
        <v>1</v>
      </c>
      <c r="D57" s="15">
        <v>7.37</v>
      </c>
      <c r="E57" s="15">
        <v>12.03</v>
      </c>
      <c r="F57" s="15">
        <v>8.31</v>
      </c>
      <c r="G57" s="15">
        <v>1.87</v>
      </c>
      <c r="H57" s="15">
        <v>0.56000000000000005</v>
      </c>
      <c r="I57" s="15">
        <v>0.84</v>
      </c>
      <c r="J57" s="15">
        <v>2.13</v>
      </c>
      <c r="K57" s="15">
        <v>7.66</v>
      </c>
      <c r="L57" s="15">
        <v>2.65</v>
      </c>
      <c r="M57" s="15">
        <v>1.58</v>
      </c>
      <c r="N57" s="15">
        <v>5.07</v>
      </c>
      <c r="O57" s="15">
        <v>9.0500000000000007</v>
      </c>
      <c r="P57" s="15">
        <v>1.67</v>
      </c>
    </row>
    <row r="58" spans="1:16" ht="15" customHeight="1" x14ac:dyDescent="0.3">
      <c r="A58" s="12" t="s">
        <v>478</v>
      </c>
      <c r="B58" s="15">
        <v>19.989999999999998</v>
      </c>
      <c r="C58" s="19"/>
      <c r="D58" s="19"/>
      <c r="E58" s="19"/>
      <c r="F58" s="19"/>
      <c r="G58" s="19"/>
      <c r="H58" s="19"/>
      <c r="I58" s="19"/>
      <c r="J58" s="19"/>
      <c r="K58" s="19"/>
      <c r="L58" s="19"/>
      <c r="M58" s="19"/>
      <c r="N58" s="19"/>
      <c r="O58" s="19"/>
      <c r="P58" s="19"/>
    </row>
    <row r="59" spans="1:16" ht="15" customHeight="1" x14ac:dyDescent="0.3">
      <c r="A59" s="12" t="s">
        <v>479</v>
      </c>
      <c r="B59" s="19"/>
      <c r="C59" s="15">
        <v>0.02</v>
      </c>
      <c r="D59" s="15">
        <v>64.290000000000006</v>
      </c>
      <c r="E59" s="22">
        <v>-2426.08</v>
      </c>
      <c r="F59" s="15">
        <v>60.5</v>
      </c>
      <c r="G59" s="22">
        <v>-1257.77</v>
      </c>
      <c r="H59" s="22">
        <v>-204.36</v>
      </c>
      <c r="I59" s="22">
        <v>-283.68</v>
      </c>
      <c r="J59" s="23">
        <v>-73.34</v>
      </c>
      <c r="K59" s="23">
        <v>-58.22</v>
      </c>
      <c r="L59" s="22">
        <v>-158.37</v>
      </c>
      <c r="M59" s="15">
        <v>1.87</v>
      </c>
      <c r="N59" s="15">
        <v>3.12</v>
      </c>
      <c r="O59" s="22">
        <v>-248</v>
      </c>
      <c r="P59" s="23">
        <v>-7.82</v>
      </c>
    </row>
    <row r="60" spans="1:16" ht="15" customHeight="1" x14ac:dyDescent="0.3">
      <c r="A60" s="16" t="s">
        <v>480</v>
      </c>
      <c r="B60" s="21">
        <v>-26.54</v>
      </c>
      <c r="C60" s="21">
        <v>-60.61</v>
      </c>
      <c r="D60" s="29"/>
      <c r="E60" s="24">
        <v>-4931.99</v>
      </c>
      <c r="F60" s="17">
        <v>110.36</v>
      </c>
      <c r="G60" s="24">
        <v>-2529.0100000000002</v>
      </c>
      <c r="H60" s="24">
        <v>-413.34</v>
      </c>
      <c r="I60" s="24">
        <v>-593.13</v>
      </c>
      <c r="J60" s="24">
        <v>-146.86000000000001</v>
      </c>
      <c r="K60" s="24">
        <v>-119.6</v>
      </c>
      <c r="L60" s="24">
        <v>-320.75</v>
      </c>
      <c r="M60" s="21">
        <v>-15.52</v>
      </c>
      <c r="N60" s="21">
        <v>-32.42</v>
      </c>
      <c r="O60" s="24">
        <v>-480.99</v>
      </c>
      <c r="P60" s="21">
        <v>-15.64</v>
      </c>
    </row>
    <row r="61" spans="1:16" ht="15" customHeight="1" x14ac:dyDescent="0.3">
      <c r="A61" s="10" t="s">
        <v>481</v>
      </c>
      <c r="B61" s="11"/>
      <c r="C61" s="11"/>
      <c r="D61" s="11"/>
      <c r="E61" s="11"/>
      <c r="F61" s="11"/>
      <c r="G61" s="11"/>
      <c r="H61" s="11"/>
      <c r="I61" s="11"/>
      <c r="J61" s="11"/>
      <c r="K61" s="11"/>
      <c r="L61" s="11"/>
      <c r="M61" s="11"/>
      <c r="N61" s="11"/>
      <c r="O61" s="11"/>
      <c r="P61" s="11"/>
    </row>
    <row r="62" spans="1:16" ht="15" customHeight="1" x14ac:dyDescent="0.3">
      <c r="A62" s="12" t="s">
        <v>482</v>
      </c>
      <c r="B62" s="19"/>
      <c r="C62" s="15">
        <v>48</v>
      </c>
      <c r="D62" s="15">
        <v>48</v>
      </c>
      <c r="E62" s="15">
        <v>45.07</v>
      </c>
      <c r="F62" s="15">
        <v>16.57</v>
      </c>
      <c r="G62" s="15">
        <v>16.37</v>
      </c>
      <c r="H62" s="15">
        <v>16.399999999999999</v>
      </c>
      <c r="I62" s="19"/>
      <c r="J62" s="19"/>
      <c r="K62" s="15">
        <v>59.52</v>
      </c>
      <c r="L62" s="19"/>
      <c r="M62" s="19"/>
      <c r="N62" s="19"/>
      <c r="O62" s="19"/>
      <c r="P62" s="19"/>
    </row>
    <row r="63" spans="1:16" ht="15" customHeight="1" x14ac:dyDescent="0.3">
      <c r="A63" s="14" t="s">
        <v>483</v>
      </c>
      <c r="B63" s="19"/>
      <c r="C63" s="19"/>
      <c r="D63" s="19"/>
      <c r="E63" s="19"/>
      <c r="F63" s="15">
        <v>16.57</v>
      </c>
      <c r="G63" s="15">
        <v>16.37</v>
      </c>
      <c r="H63" s="15">
        <v>16.399999999999999</v>
      </c>
      <c r="I63" s="19"/>
      <c r="J63" s="19"/>
      <c r="K63" s="15">
        <v>59.52</v>
      </c>
      <c r="L63" s="19"/>
      <c r="M63" s="19"/>
      <c r="N63" s="19"/>
      <c r="O63" s="19"/>
      <c r="P63" s="19"/>
    </row>
    <row r="64" spans="1:16" ht="15" customHeight="1" x14ac:dyDescent="0.3">
      <c r="A64" s="14" t="s">
        <v>484</v>
      </c>
      <c r="B64" s="19"/>
      <c r="C64" s="15">
        <v>48</v>
      </c>
      <c r="D64" s="19"/>
      <c r="E64" s="19"/>
      <c r="F64" s="19"/>
      <c r="G64" s="19"/>
      <c r="H64" s="19"/>
      <c r="I64" s="19"/>
      <c r="J64" s="19"/>
      <c r="K64" s="19"/>
      <c r="L64" s="19"/>
      <c r="M64" s="19"/>
      <c r="N64" s="19"/>
      <c r="O64" s="19"/>
      <c r="P64" s="19"/>
    </row>
    <row r="65" spans="1:16" ht="15" customHeight="1" x14ac:dyDescent="0.3">
      <c r="A65" s="12" t="s">
        <v>485</v>
      </c>
      <c r="B65" s="19"/>
      <c r="C65" s="19"/>
      <c r="D65" s="19"/>
      <c r="E65" s="13">
        <v>600</v>
      </c>
      <c r="F65" s="19"/>
      <c r="G65" s="23">
        <v>-0.57999999999999996</v>
      </c>
      <c r="H65" s="23">
        <v>-30.47</v>
      </c>
      <c r="I65" s="23">
        <v>-16.420000000000002</v>
      </c>
      <c r="J65" s="23">
        <v>-39.76</v>
      </c>
      <c r="K65" s="23">
        <v>-8.9700000000000006</v>
      </c>
      <c r="L65" s="23">
        <v>-4.66</v>
      </c>
      <c r="M65" s="23">
        <v>-27.57</v>
      </c>
      <c r="N65" s="23">
        <v>-5.35</v>
      </c>
      <c r="O65" s="23">
        <v>-48.87</v>
      </c>
      <c r="P65" s="15">
        <v>8.39</v>
      </c>
    </row>
    <row r="66" spans="1:16" ht="15" customHeight="1" x14ac:dyDescent="0.3">
      <c r="A66" s="14" t="s">
        <v>486</v>
      </c>
      <c r="B66" s="19"/>
      <c r="C66" s="19"/>
      <c r="D66" s="19"/>
      <c r="E66" s="13">
        <v>600</v>
      </c>
      <c r="F66" s="19"/>
      <c r="G66" s="23">
        <v>-0.57999999999999996</v>
      </c>
      <c r="H66" s="23">
        <v>-32.32</v>
      </c>
      <c r="I66" s="23">
        <v>-17.89</v>
      </c>
      <c r="J66" s="23">
        <v>-44.4</v>
      </c>
      <c r="K66" s="23">
        <v>-16.22</v>
      </c>
      <c r="L66" s="23">
        <v>-21.24</v>
      </c>
      <c r="M66" s="23">
        <v>-74.2</v>
      </c>
      <c r="N66" s="23">
        <v>-23.56</v>
      </c>
      <c r="O66" s="23">
        <v>-51.38</v>
      </c>
      <c r="P66" s="19"/>
    </row>
    <row r="67" spans="1:16" ht="15" customHeight="1" x14ac:dyDescent="0.3">
      <c r="A67" s="18" t="s">
        <v>487</v>
      </c>
      <c r="B67" s="19"/>
      <c r="C67" s="19"/>
      <c r="D67" s="19"/>
      <c r="E67" s="19"/>
      <c r="F67" s="19"/>
      <c r="G67" s="23">
        <v>-0.57999999999999996</v>
      </c>
      <c r="H67" s="23">
        <v>-32.32</v>
      </c>
      <c r="I67" s="23">
        <v>-17.89</v>
      </c>
      <c r="J67" s="23">
        <v>-44.4</v>
      </c>
      <c r="K67" s="23">
        <v>-16.22</v>
      </c>
      <c r="L67" s="23">
        <v>-21.24</v>
      </c>
      <c r="M67" s="23">
        <v>-74.2</v>
      </c>
      <c r="N67" s="23">
        <v>-23.56</v>
      </c>
      <c r="O67" s="23">
        <v>-51.38</v>
      </c>
      <c r="P67" s="19"/>
    </row>
    <row r="68" spans="1:16" ht="15" customHeight="1" x14ac:dyDescent="0.3">
      <c r="A68" s="26" t="s">
        <v>488</v>
      </c>
      <c r="B68" s="19"/>
      <c r="C68" s="19"/>
      <c r="D68" s="19"/>
      <c r="E68" s="19"/>
      <c r="F68" s="19"/>
      <c r="G68" s="15">
        <v>0.57999999999999996</v>
      </c>
      <c r="H68" s="15">
        <v>32.32</v>
      </c>
      <c r="I68" s="15">
        <v>17.89</v>
      </c>
      <c r="J68" s="15">
        <v>44.4</v>
      </c>
      <c r="K68" s="15">
        <v>16.22</v>
      </c>
      <c r="L68" s="15">
        <v>21.24</v>
      </c>
      <c r="M68" s="15">
        <v>74.2</v>
      </c>
      <c r="N68" s="15">
        <v>23.56</v>
      </c>
      <c r="O68" s="15">
        <v>51.38</v>
      </c>
      <c r="P68" s="19"/>
    </row>
    <row r="69" spans="1:16" ht="15" customHeight="1" x14ac:dyDescent="0.3">
      <c r="A69" s="18" t="s">
        <v>489</v>
      </c>
      <c r="B69" s="19"/>
      <c r="C69" s="19"/>
      <c r="D69" s="19"/>
      <c r="E69" s="13">
        <v>600</v>
      </c>
      <c r="F69" s="19"/>
      <c r="G69" s="19"/>
      <c r="H69" s="19"/>
      <c r="I69" s="19"/>
      <c r="J69" s="19"/>
      <c r="K69" s="19"/>
      <c r="L69" s="19"/>
      <c r="M69" s="19"/>
      <c r="N69" s="19"/>
      <c r="O69" s="19"/>
      <c r="P69" s="19"/>
    </row>
    <row r="70" spans="1:16" ht="15" customHeight="1" x14ac:dyDescent="0.3">
      <c r="A70" s="26" t="s">
        <v>490</v>
      </c>
      <c r="B70" s="19"/>
      <c r="C70" s="19"/>
      <c r="D70" s="19"/>
      <c r="E70" s="13">
        <v>600</v>
      </c>
      <c r="F70" s="19"/>
      <c r="G70" s="19"/>
      <c r="H70" s="19"/>
      <c r="I70" s="19"/>
      <c r="J70" s="19"/>
      <c r="K70" s="19"/>
      <c r="L70" s="19"/>
      <c r="M70" s="19"/>
      <c r="N70" s="19"/>
      <c r="O70" s="19"/>
      <c r="P70" s="19"/>
    </row>
    <row r="71" spans="1:16" ht="15" customHeight="1" x14ac:dyDescent="0.3">
      <c r="A71" s="14" t="s">
        <v>491</v>
      </c>
      <c r="B71" s="19"/>
      <c r="C71" s="19"/>
      <c r="D71" s="19"/>
      <c r="E71" s="19"/>
      <c r="F71" s="19"/>
      <c r="G71" s="19"/>
      <c r="H71" s="15">
        <v>1.86</v>
      </c>
      <c r="I71" s="15">
        <v>1.46</v>
      </c>
      <c r="J71" s="15">
        <v>4.6399999999999997</v>
      </c>
      <c r="K71" s="15">
        <v>7.25</v>
      </c>
      <c r="L71" s="15">
        <v>16.579999999999998</v>
      </c>
      <c r="M71" s="15">
        <v>46.62</v>
      </c>
      <c r="N71" s="15">
        <v>18.22</v>
      </c>
      <c r="O71" s="15">
        <v>2.5099999999999998</v>
      </c>
      <c r="P71" s="15">
        <v>8.39</v>
      </c>
    </row>
    <row r="72" spans="1:16" ht="15" customHeight="1" x14ac:dyDescent="0.3">
      <c r="A72" s="12" t="s">
        <v>492</v>
      </c>
      <c r="B72" s="22">
        <v>-345.61</v>
      </c>
      <c r="C72" s="15">
        <v>30.14</v>
      </c>
      <c r="D72" s="22">
        <v>-278.10000000000002</v>
      </c>
      <c r="E72" s="13">
        <v>219</v>
      </c>
      <c r="F72" s="13">
        <v>1039.3900000000001</v>
      </c>
      <c r="G72" s="13">
        <v>1252.45</v>
      </c>
      <c r="H72" s="23">
        <v>-5.66</v>
      </c>
      <c r="I72" s="13">
        <v>306.07</v>
      </c>
      <c r="J72" s="23">
        <v>-6.63</v>
      </c>
      <c r="K72" s="15">
        <v>77.59</v>
      </c>
      <c r="L72" s="23">
        <v>-2</v>
      </c>
      <c r="M72" s="15">
        <v>3.9</v>
      </c>
      <c r="N72" s="23">
        <v>-15.9</v>
      </c>
      <c r="O72" s="13">
        <v>212</v>
      </c>
      <c r="P72" s="23">
        <v>-34.9</v>
      </c>
    </row>
    <row r="73" spans="1:16" ht="15" customHeight="1" x14ac:dyDescent="0.3">
      <c r="A73" s="14" t="s">
        <v>493</v>
      </c>
      <c r="B73" s="22">
        <v>-345.61</v>
      </c>
      <c r="C73" s="15">
        <v>30.14</v>
      </c>
      <c r="D73" s="22">
        <v>-278.10000000000002</v>
      </c>
      <c r="E73" s="13">
        <v>219</v>
      </c>
      <c r="F73" s="13">
        <v>1039.3900000000001</v>
      </c>
      <c r="G73" s="13">
        <v>1252.45</v>
      </c>
      <c r="H73" s="23">
        <v>-5.66</v>
      </c>
      <c r="I73" s="13">
        <v>306.07</v>
      </c>
      <c r="J73" s="23">
        <v>-6.63</v>
      </c>
      <c r="K73" s="15">
        <v>77.59</v>
      </c>
      <c r="L73" s="23">
        <v>-2</v>
      </c>
      <c r="M73" s="15">
        <v>3.9</v>
      </c>
      <c r="N73" s="23">
        <v>-15.9</v>
      </c>
      <c r="O73" s="13">
        <v>212</v>
      </c>
      <c r="P73" s="23">
        <v>-34.9</v>
      </c>
    </row>
    <row r="74" spans="1:16" ht="15" customHeight="1" x14ac:dyDescent="0.3">
      <c r="A74" s="18" t="s">
        <v>494</v>
      </c>
      <c r="B74" s="19"/>
      <c r="C74" s="13">
        <v>330</v>
      </c>
      <c r="D74" s="19"/>
      <c r="E74" s="13">
        <v>800</v>
      </c>
      <c r="F74" s="13">
        <v>1050</v>
      </c>
      <c r="G74" s="13">
        <v>1261.18</v>
      </c>
      <c r="H74" s="19"/>
      <c r="I74" s="13">
        <v>700</v>
      </c>
      <c r="J74" s="19"/>
      <c r="K74" s="13">
        <v>200</v>
      </c>
      <c r="L74" s="19"/>
      <c r="M74" s="13">
        <v>200</v>
      </c>
      <c r="N74" s="19"/>
      <c r="O74" s="13">
        <v>212</v>
      </c>
      <c r="P74" s="19"/>
    </row>
    <row r="75" spans="1:16" ht="15" customHeight="1" x14ac:dyDescent="0.3">
      <c r="A75" s="18" t="s">
        <v>495</v>
      </c>
      <c r="B75" s="13">
        <v>345.61</v>
      </c>
      <c r="C75" s="13">
        <v>299.86</v>
      </c>
      <c r="D75" s="13">
        <v>278.10000000000002</v>
      </c>
      <c r="E75" s="13">
        <v>581</v>
      </c>
      <c r="F75" s="15">
        <v>10.61</v>
      </c>
      <c r="G75" s="15">
        <v>8.73</v>
      </c>
      <c r="H75" s="15">
        <v>5.66</v>
      </c>
      <c r="I75" s="13">
        <v>393.93</v>
      </c>
      <c r="J75" s="15">
        <v>6.64</v>
      </c>
      <c r="K75" s="13">
        <v>122.41</v>
      </c>
      <c r="L75" s="15">
        <v>2</v>
      </c>
      <c r="M75" s="13">
        <v>196.1</v>
      </c>
      <c r="N75" s="15">
        <v>15.9</v>
      </c>
      <c r="O75" s="19"/>
      <c r="P75" s="15">
        <v>34.9</v>
      </c>
    </row>
    <row r="76" spans="1:16" ht="15" customHeight="1" x14ac:dyDescent="0.3">
      <c r="A76" s="12" t="s">
        <v>496</v>
      </c>
      <c r="B76" s="23">
        <v>-5</v>
      </c>
      <c r="C76" s="23">
        <v>-15.84</v>
      </c>
      <c r="D76" s="23">
        <v>-1.39</v>
      </c>
      <c r="E76" s="23">
        <v>-80.459999999999994</v>
      </c>
      <c r="F76" s="13">
        <v>973.54</v>
      </c>
      <c r="G76" s="13">
        <v>1200.1600000000001</v>
      </c>
      <c r="H76" s="23">
        <v>-57.48</v>
      </c>
      <c r="I76" s="13">
        <v>255.48</v>
      </c>
      <c r="J76" s="23">
        <v>-60.27</v>
      </c>
      <c r="K76" s="23">
        <v>-5.41</v>
      </c>
      <c r="L76" s="23">
        <v>-1.97</v>
      </c>
      <c r="M76" s="23">
        <v>-11.22</v>
      </c>
      <c r="N76" s="23">
        <v>-4.16</v>
      </c>
      <c r="O76" s="13">
        <v>134.21</v>
      </c>
      <c r="P76" s="23">
        <v>-31.56</v>
      </c>
    </row>
    <row r="77" spans="1:16" ht="15" customHeight="1" x14ac:dyDescent="0.3">
      <c r="A77" s="14" t="s">
        <v>497</v>
      </c>
      <c r="B77" s="15">
        <v>1.88</v>
      </c>
      <c r="C77" s="15">
        <v>4.96</v>
      </c>
      <c r="D77" s="15">
        <v>8.8699999999999992</v>
      </c>
      <c r="E77" s="15">
        <v>7.17</v>
      </c>
      <c r="F77" s="15">
        <v>2.88</v>
      </c>
      <c r="G77" s="15">
        <v>3.83</v>
      </c>
      <c r="H77" s="15">
        <v>3.8</v>
      </c>
      <c r="I77" s="15">
        <v>4.58</v>
      </c>
      <c r="J77" s="15">
        <v>2.68</v>
      </c>
      <c r="K77" s="15">
        <v>5.24</v>
      </c>
      <c r="L77" s="23">
        <v>-4.09</v>
      </c>
      <c r="M77" s="15">
        <v>6.27</v>
      </c>
      <c r="N77" s="15">
        <v>3.45</v>
      </c>
      <c r="O77" s="15">
        <v>3.78</v>
      </c>
      <c r="P77" s="15">
        <v>2.5099999999999998</v>
      </c>
    </row>
    <row r="78" spans="1:16" ht="15" customHeight="1" x14ac:dyDescent="0.3">
      <c r="A78" s="16" t="s">
        <v>498</v>
      </c>
      <c r="B78" s="24">
        <v>-350.61</v>
      </c>
      <c r="C78" s="21">
        <v>-33.71</v>
      </c>
      <c r="D78" s="24">
        <v>-327.48</v>
      </c>
      <c r="E78" s="17">
        <v>693.48</v>
      </c>
      <c r="F78" s="17">
        <v>1996.36</v>
      </c>
      <c r="G78" s="17">
        <v>2435.65</v>
      </c>
      <c r="H78" s="24">
        <v>-109.99</v>
      </c>
      <c r="I78" s="17">
        <v>545.12</v>
      </c>
      <c r="J78" s="24">
        <v>-106.67</v>
      </c>
      <c r="K78" s="20">
        <v>3.69</v>
      </c>
      <c r="L78" s="21">
        <v>-8.6300000000000008</v>
      </c>
      <c r="M78" s="21">
        <v>-34.9</v>
      </c>
      <c r="N78" s="21">
        <v>-25.4</v>
      </c>
      <c r="O78" s="17">
        <v>297.33999999999997</v>
      </c>
      <c r="P78" s="21">
        <v>-58.07</v>
      </c>
    </row>
    <row r="79" spans="1:16" ht="15" customHeight="1" x14ac:dyDescent="0.3">
      <c r="A79" s="10" t="s">
        <v>499</v>
      </c>
      <c r="B79" s="11"/>
      <c r="C79" s="11"/>
      <c r="D79" s="11"/>
      <c r="E79" s="11"/>
      <c r="F79" s="11"/>
      <c r="G79" s="11"/>
      <c r="H79" s="11"/>
      <c r="I79" s="11"/>
      <c r="J79" s="11"/>
      <c r="K79" s="11"/>
      <c r="L79" s="11"/>
      <c r="M79" s="11"/>
      <c r="N79" s="11"/>
      <c r="O79" s="11"/>
      <c r="P79" s="11"/>
    </row>
    <row r="80" spans="1:16" ht="15" customHeight="1" x14ac:dyDescent="0.3">
      <c r="A80" s="12" t="s">
        <v>500</v>
      </c>
      <c r="B80" s="19"/>
      <c r="C80" s="19"/>
      <c r="D80" s="19"/>
      <c r="E80" s="15">
        <v>6.06</v>
      </c>
      <c r="F80" s="23">
        <v>-77.94</v>
      </c>
      <c r="G80" s="19"/>
      <c r="H80" s="15">
        <v>10.68</v>
      </c>
      <c r="I80" s="15">
        <v>10.67</v>
      </c>
      <c r="J80" s="19"/>
      <c r="K80" s="15">
        <v>0.04</v>
      </c>
      <c r="L80" s="15">
        <v>23.76</v>
      </c>
      <c r="M80" s="15">
        <v>26.74</v>
      </c>
      <c r="N80" s="19"/>
      <c r="O80" s="19"/>
      <c r="P80" s="19"/>
    </row>
    <row r="81" spans="1:16" ht="15" customHeight="1" x14ac:dyDescent="0.3">
      <c r="A81" s="12" t="s">
        <v>501</v>
      </c>
      <c r="B81" s="19"/>
      <c r="C81" s="19"/>
      <c r="D81" s="19"/>
      <c r="E81" s="15">
        <v>10</v>
      </c>
      <c r="F81" s="13">
        <v>262.24</v>
      </c>
      <c r="G81" s="19"/>
      <c r="H81" s="15">
        <v>79.19</v>
      </c>
      <c r="I81" s="23">
        <v>-2.5</v>
      </c>
      <c r="J81" s="19"/>
      <c r="K81" s="23">
        <v>-1.56</v>
      </c>
      <c r="L81" s="23">
        <v>-1.56</v>
      </c>
      <c r="M81" s="23">
        <v>-4.3600000000000003</v>
      </c>
      <c r="N81" s="19"/>
      <c r="O81" s="19"/>
      <c r="P81" s="13">
        <v>162.9</v>
      </c>
    </row>
    <row r="82" spans="1:16" ht="15" customHeight="1" x14ac:dyDescent="0.3">
      <c r="A82" s="12" t="s">
        <v>502</v>
      </c>
      <c r="B82" s="19"/>
      <c r="C82" s="19"/>
      <c r="D82" s="19"/>
      <c r="E82" s="19"/>
      <c r="F82" s="19"/>
      <c r="G82" s="19"/>
      <c r="H82" s="19"/>
      <c r="I82" s="19"/>
      <c r="J82" s="19"/>
      <c r="K82" s="19"/>
      <c r="L82" s="19"/>
      <c r="M82" s="23">
        <v>-0.11</v>
      </c>
      <c r="N82" s="19"/>
      <c r="O82" s="19"/>
      <c r="P82" s="19"/>
    </row>
    <row r="83" spans="1:16" ht="15" customHeight="1" x14ac:dyDescent="0.3">
      <c r="A83" s="16" t="s">
        <v>503</v>
      </c>
      <c r="B83" s="29"/>
      <c r="C83" s="29"/>
      <c r="D83" s="29"/>
      <c r="E83" s="20">
        <v>16.059999999999999</v>
      </c>
      <c r="F83" s="17">
        <v>184.31</v>
      </c>
      <c r="G83" s="29"/>
      <c r="H83" s="20">
        <v>89.87</v>
      </c>
      <c r="I83" s="20">
        <v>8.17</v>
      </c>
      <c r="J83" s="29"/>
      <c r="K83" s="21">
        <v>-1.52</v>
      </c>
      <c r="L83" s="20">
        <v>22.2</v>
      </c>
      <c r="M83" s="20">
        <v>22.28</v>
      </c>
      <c r="N83" s="29"/>
      <c r="O83" s="29"/>
      <c r="P83" s="17">
        <v>162.9</v>
      </c>
    </row>
    <row r="84" spans="1:16" ht="15" customHeight="1" x14ac:dyDescent="0.3">
      <c r="A84" s="10" t="s">
        <v>504</v>
      </c>
      <c r="B84" s="11"/>
      <c r="C84" s="11"/>
      <c r="D84" s="11"/>
      <c r="E84" s="11"/>
      <c r="F84" s="11"/>
      <c r="G84" s="11"/>
      <c r="H84" s="11"/>
      <c r="I84" s="11"/>
      <c r="J84" s="11"/>
      <c r="K84" s="11"/>
      <c r="L84" s="11"/>
      <c r="M84" s="11"/>
      <c r="N84" s="11"/>
      <c r="O84" s="11"/>
      <c r="P84" s="11"/>
    </row>
    <row r="85" spans="1:16" ht="15" customHeight="1" x14ac:dyDescent="0.3">
      <c r="A85" s="12" t="s">
        <v>505</v>
      </c>
      <c r="B85" s="19"/>
      <c r="C85" s="19"/>
      <c r="D85" s="19"/>
      <c r="E85" s="23">
        <v>-0.02</v>
      </c>
      <c r="F85" s="15">
        <v>0.06</v>
      </c>
      <c r="G85" s="23">
        <v>-0.01</v>
      </c>
      <c r="H85" s="23">
        <v>-0.01</v>
      </c>
      <c r="I85" s="19"/>
      <c r="J85" s="19"/>
      <c r="K85" s="19"/>
      <c r="L85" s="19"/>
      <c r="M85" s="19"/>
      <c r="N85" s="19"/>
      <c r="O85" s="19"/>
      <c r="P85" s="15">
        <v>5.23</v>
      </c>
    </row>
    <row r="86" spans="1:16" ht="15" customHeight="1" x14ac:dyDescent="0.3">
      <c r="A86" s="10" t="s">
        <v>506</v>
      </c>
      <c r="B86" s="11"/>
      <c r="C86" s="11"/>
      <c r="D86" s="11"/>
      <c r="E86" s="11"/>
      <c r="F86" s="11"/>
      <c r="G86" s="11"/>
      <c r="H86" s="11"/>
      <c r="I86" s="11"/>
      <c r="J86" s="11"/>
      <c r="K86" s="11"/>
      <c r="L86" s="11"/>
      <c r="M86" s="11"/>
      <c r="N86" s="11"/>
      <c r="O86" s="11"/>
      <c r="P86" s="11"/>
    </row>
    <row r="87" spans="1:16" ht="15" customHeight="1" x14ac:dyDescent="0.3">
      <c r="A87" s="16" t="s">
        <v>507</v>
      </c>
      <c r="B87" s="21">
        <v>-11.47</v>
      </c>
      <c r="C87" s="20">
        <v>17.29</v>
      </c>
      <c r="D87" s="21">
        <v>-82.45</v>
      </c>
      <c r="E87" s="24">
        <v>-1525.54</v>
      </c>
      <c r="F87" s="17">
        <v>1593.05</v>
      </c>
      <c r="G87" s="21">
        <v>-74.150000000000006</v>
      </c>
      <c r="H87" s="21">
        <v>-41.58</v>
      </c>
      <c r="I87" s="20">
        <v>14.35</v>
      </c>
      <c r="J87" s="20">
        <v>19.73</v>
      </c>
      <c r="K87" s="21">
        <v>-50.65</v>
      </c>
      <c r="L87" s="21">
        <v>-64.2</v>
      </c>
      <c r="M87" s="21">
        <v>-21.39</v>
      </c>
      <c r="N87" s="17">
        <v>114.75</v>
      </c>
      <c r="O87" s="21">
        <v>-77.03</v>
      </c>
      <c r="P87" s="17">
        <v>197.24</v>
      </c>
    </row>
    <row r="88" spans="1:16" ht="15" customHeight="1" x14ac:dyDescent="0.3">
      <c r="A88" s="14" t="s">
        <v>508</v>
      </c>
      <c r="B88" s="23">
        <v>-11.47</v>
      </c>
      <c r="C88" s="15">
        <v>17.29</v>
      </c>
      <c r="D88" s="23">
        <v>-16.059999999999999</v>
      </c>
      <c r="E88" s="22">
        <v>-4007.6</v>
      </c>
      <c r="F88" s="13">
        <v>2462.1</v>
      </c>
      <c r="G88" s="22">
        <v>-120.83</v>
      </c>
      <c r="H88" s="22">
        <v>-393.12</v>
      </c>
      <c r="I88" s="23">
        <v>-17.82</v>
      </c>
      <c r="J88" s="22">
        <v>-107.03</v>
      </c>
      <c r="K88" s="22">
        <v>-107.09</v>
      </c>
      <c r="L88" s="22">
        <v>-251.08</v>
      </c>
      <c r="M88" s="23">
        <v>-43.66</v>
      </c>
      <c r="N88" s="13">
        <v>114.75</v>
      </c>
      <c r="O88" s="22">
        <v>-168.86</v>
      </c>
      <c r="P88" s="23">
        <v>-2.5</v>
      </c>
    </row>
    <row r="89" spans="1:16" ht="15" customHeight="1" x14ac:dyDescent="0.3">
      <c r="A89" s="14" t="s">
        <v>509</v>
      </c>
      <c r="B89" s="19"/>
      <c r="C89" s="19"/>
      <c r="D89" s="19"/>
      <c r="E89" s="15">
        <v>16.059999999999999</v>
      </c>
      <c r="F89" s="13">
        <v>184.31</v>
      </c>
      <c r="G89" s="19"/>
      <c r="H89" s="15">
        <v>89.87</v>
      </c>
      <c r="I89" s="15">
        <v>8.17</v>
      </c>
      <c r="J89" s="19"/>
      <c r="K89" s="23">
        <v>-1.52</v>
      </c>
      <c r="L89" s="15">
        <v>22.2</v>
      </c>
      <c r="M89" s="15">
        <v>22.28</v>
      </c>
      <c r="N89" s="19"/>
      <c r="O89" s="19"/>
      <c r="P89" s="13">
        <v>162.9</v>
      </c>
    </row>
    <row r="90" spans="1:16" ht="15" customHeight="1" x14ac:dyDescent="0.3">
      <c r="A90" s="12" t="s">
        <v>510</v>
      </c>
      <c r="B90" s="15">
        <v>35.32</v>
      </c>
      <c r="C90" s="15">
        <v>18.03</v>
      </c>
      <c r="D90" s="13">
        <v>100.48</v>
      </c>
      <c r="E90" s="13">
        <v>1626.02</v>
      </c>
      <c r="F90" s="15">
        <v>32.97</v>
      </c>
      <c r="G90" s="13">
        <v>107.11</v>
      </c>
      <c r="H90" s="13">
        <v>148.69999999999999</v>
      </c>
      <c r="I90" s="13">
        <v>134.35</v>
      </c>
      <c r="J90" s="13">
        <v>114.62</v>
      </c>
      <c r="K90" s="13">
        <v>165.27</v>
      </c>
      <c r="L90" s="13">
        <v>229.47</v>
      </c>
      <c r="M90" s="13">
        <v>242.64</v>
      </c>
      <c r="N90" s="13">
        <v>127.89</v>
      </c>
      <c r="O90" s="13">
        <v>204.92</v>
      </c>
      <c r="P90" s="15">
        <v>7.68</v>
      </c>
    </row>
    <row r="91" spans="1:16" ht="15" customHeight="1" x14ac:dyDescent="0.3">
      <c r="A91" s="12" t="s">
        <v>511</v>
      </c>
      <c r="B91" s="15">
        <v>23.85</v>
      </c>
      <c r="C91" s="15">
        <v>35.32</v>
      </c>
      <c r="D91" s="15">
        <v>18.03</v>
      </c>
      <c r="E91" s="13">
        <v>100.48</v>
      </c>
      <c r="F91" s="13">
        <v>1626.02</v>
      </c>
      <c r="G91" s="15">
        <v>32.97</v>
      </c>
      <c r="H91" s="13">
        <v>107.11</v>
      </c>
      <c r="I91" s="13">
        <v>148.69999999999999</v>
      </c>
      <c r="J91" s="13">
        <v>134.35</v>
      </c>
      <c r="K91" s="13">
        <v>114.62</v>
      </c>
      <c r="L91" s="13">
        <v>165.27</v>
      </c>
      <c r="M91" s="13">
        <v>221.26</v>
      </c>
      <c r="N91" s="13">
        <v>242.64</v>
      </c>
      <c r="O91" s="13">
        <v>127.89</v>
      </c>
      <c r="P91" s="13">
        <v>204.92</v>
      </c>
    </row>
    <row r="92" spans="1:16" ht="15" customHeight="1" x14ac:dyDescent="0.3">
      <c r="A92" s="10" t="s">
        <v>512</v>
      </c>
      <c r="B92" s="11"/>
      <c r="C92" s="11"/>
      <c r="D92" s="11"/>
      <c r="E92" s="11"/>
      <c r="F92" s="11"/>
      <c r="G92" s="11"/>
      <c r="H92" s="11"/>
      <c r="I92" s="11"/>
      <c r="J92" s="11"/>
      <c r="K92" s="11"/>
      <c r="L92" s="11"/>
      <c r="M92" s="11"/>
      <c r="N92" s="11"/>
      <c r="O92" s="11"/>
      <c r="P92" s="11"/>
    </row>
    <row r="93" spans="1:16" ht="15" customHeight="1" x14ac:dyDescent="0.3">
      <c r="A93" s="12" t="s">
        <v>513</v>
      </c>
      <c r="B93" s="15">
        <v>71.81</v>
      </c>
      <c r="C93" s="15">
        <v>31.12</v>
      </c>
      <c r="D93" s="15">
        <v>61.74</v>
      </c>
      <c r="E93" s="13">
        <v>102.47</v>
      </c>
      <c r="F93" s="23">
        <v>-13.22</v>
      </c>
      <c r="G93" s="15">
        <v>13.18</v>
      </c>
      <c r="H93" s="15">
        <v>3.73</v>
      </c>
      <c r="I93" s="15">
        <v>1.76</v>
      </c>
      <c r="J93" s="15">
        <v>1.1000000000000001</v>
      </c>
      <c r="K93" s="15">
        <v>14.98</v>
      </c>
      <c r="L93" s="15">
        <v>0.46</v>
      </c>
      <c r="M93" s="15">
        <v>0.42</v>
      </c>
      <c r="N93" s="15">
        <v>7.09</v>
      </c>
      <c r="O93" s="15">
        <v>8.3000000000000007</v>
      </c>
      <c r="P93" s="15">
        <v>40.49</v>
      </c>
    </row>
    <row r="94" spans="1:16" ht="15" customHeight="1" x14ac:dyDescent="0.3">
      <c r="A94" s="12" t="s">
        <v>514</v>
      </c>
      <c r="B94" s="13">
        <v>195.86</v>
      </c>
      <c r="C94" s="13">
        <v>195.83</v>
      </c>
      <c r="D94" s="13">
        <v>190.79</v>
      </c>
      <c r="E94" s="13">
        <v>126.26</v>
      </c>
      <c r="F94" s="15">
        <v>82.53</v>
      </c>
      <c r="G94" s="15">
        <v>61.3</v>
      </c>
      <c r="H94" s="15">
        <v>33.67</v>
      </c>
      <c r="I94" s="15">
        <v>18.96</v>
      </c>
      <c r="J94" s="15">
        <v>15.62</v>
      </c>
      <c r="K94" s="15">
        <v>13.44</v>
      </c>
      <c r="L94" s="15">
        <v>7.24</v>
      </c>
      <c r="M94" s="15">
        <v>8.07</v>
      </c>
      <c r="N94" s="15">
        <v>9.34</v>
      </c>
      <c r="O94" s="15">
        <v>0.28999999999999998</v>
      </c>
      <c r="P94" s="15">
        <v>1.26</v>
      </c>
    </row>
    <row r="95" spans="1:16" ht="15" customHeight="1" x14ac:dyDescent="0.3">
      <c r="A95" s="12" t="s">
        <v>515</v>
      </c>
      <c r="B95" s="13">
        <v>310.02999999999997</v>
      </c>
      <c r="C95" s="13">
        <v>148.38</v>
      </c>
      <c r="D95" s="13">
        <v>374.37</v>
      </c>
      <c r="E95" s="13">
        <v>294.39</v>
      </c>
      <c r="F95" s="13">
        <v>338.2</v>
      </c>
      <c r="G95" s="15">
        <v>72.09</v>
      </c>
      <c r="H95" s="13">
        <v>159.18</v>
      </c>
      <c r="I95" s="15">
        <v>50.69</v>
      </c>
      <c r="J95" s="13">
        <v>182.36</v>
      </c>
      <c r="K95" s="15">
        <v>52.62</v>
      </c>
      <c r="L95" s="15">
        <v>49.05</v>
      </c>
      <c r="M95" s="15">
        <v>37.97</v>
      </c>
      <c r="N95" s="13">
        <v>106.09</v>
      </c>
      <c r="O95" s="15">
        <v>51.73</v>
      </c>
      <c r="P95" s="15">
        <v>96.36</v>
      </c>
    </row>
    <row r="96" spans="1:16" ht="15" customHeight="1" x14ac:dyDescent="0.3">
      <c r="A96" s="12" t="s">
        <v>516</v>
      </c>
      <c r="B96" s="19"/>
      <c r="C96" s="19"/>
      <c r="D96" s="19"/>
      <c r="E96" s="19"/>
      <c r="F96" s="15">
        <v>16.57</v>
      </c>
      <c r="G96" s="15">
        <v>16.96</v>
      </c>
      <c r="H96" s="15">
        <v>48.72</v>
      </c>
      <c r="I96" s="15">
        <v>17.89</v>
      </c>
      <c r="J96" s="15">
        <v>44.4</v>
      </c>
      <c r="K96" s="15">
        <v>75.75</v>
      </c>
      <c r="L96" s="15">
        <v>21.24</v>
      </c>
      <c r="M96" s="15">
        <v>74.2</v>
      </c>
      <c r="N96" s="19"/>
      <c r="O96" s="19"/>
      <c r="P96" s="19"/>
    </row>
    <row r="97" spans="1:16" ht="15" customHeight="1" x14ac:dyDescent="0.3">
      <c r="A97" s="12" t="s">
        <v>517</v>
      </c>
      <c r="B97" s="19"/>
      <c r="C97" s="19"/>
      <c r="D97" s="19"/>
      <c r="E97" s="19"/>
      <c r="F97" s="19"/>
      <c r="G97" s="15">
        <v>0.57999999999999996</v>
      </c>
      <c r="H97" s="15">
        <v>32.32</v>
      </c>
      <c r="I97" s="15">
        <v>17.89</v>
      </c>
      <c r="J97" s="15">
        <v>44.4</v>
      </c>
      <c r="K97" s="15">
        <v>16.22</v>
      </c>
      <c r="L97" s="15">
        <v>21.24</v>
      </c>
      <c r="M97" s="15">
        <v>74.2</v>
      </c>
      <c r="N97" s="15">
        <v>23.56</v>
      </c>
      <c r="O97" s="15">
        <v>51.38</v>
      </c>
      <c r="P97" s="19"/>
    </row>
    <row r="98" spans="1:16" s="34" customFormat="1" ht="15" customHeight="1" x14ac:dyDescent="0.3">
      <c r="A98" s="37" t="s">
        <v>518</v>
      </c>
      <c r="B98" s="32">
        <v>155.22999999999999</v>
      </c>
      <c r="C98" s="32">
        <v>155.1</v>
      </c>
      <c r="D98" s="32">
        <v>160.43</v>
      </c>
      <c r="E98" s="32">
        <v>161.91999999999999</v>
      </c>
      <c r="F98" s="32">
        <v>107.16</v>
      </c>
      <c r="G98" s="33">
        <v>86.99</v>
      </c>
      <c r="H98" s="33">
        <v>63.99</v>
      </c>
      <c r="I98" s="33">
        <v>56.34</v>
      </c>
      <c r="J98" s="33">
        <v>58.58</v>
      </c>
      <c r="K98" s="33">
        <v>51.95</v>
      </c>
      <c r="L98" s="33">
        <v>32.18</v>
      </c>
      <c r="M98" s="33">
        <v>30.52</v>
      </c>
      <c r="N98" s="33">
        <v>49.33</v>
      </c>
      <c r="O98" s="33">
        <v>40.07</v>
      </c>
      <c r="P98" s="33">
        <v>44.89</v>
      </c>
    </row>
    <row r="99" spans="1:16" ht="15" customHeight="1" x14ac:dyDescent="0.3">
      <c r="A99" s="12" t="s">
        <v>519</v>
      </c>
      <c r="B99" s="23">
        <v>-24.72</v>
      </c>
      <c r="C99" s="15">
        <v>82.12</v>
      </c>
      <c r="D99" s="23">
        <v>-9.7899999999999991</v>
      </c>
      <c r="E99" s="13">
        <v>408.83</v>
      </c>
      <c r="F99" s="13">
        <v>1376.25</v>
      </c>
      <c r="G99" s="13">
        <v>1146.05</v>
      </c>
      <c r="H99" s="15">
        <v>65.62</v>
      </c>
      <c r="I99" s="13">
        <v>308.58</v>
      </c>
      <c r="J99" s="13">
        <v>111.97</v>
      </c>
      <c r="K99" s="15">
        <v>79.540000000000006</v>
      </c>
      <c r="L99" s="15">
        <v>65.849999999999994</v>
      </c>
      <c r="M99" s="23">
        <v>-5.16</v>
      </c>
      <c r="N99" s="13">
        <v>126.47</v>
      </c>
      <c r="O99" s="15">
        <v>0.2</v>
      </c>
      <c r="P99" s="15">
        <v>12.75</v>
      </c>
    </row>
    <row r="100" spans="1:16" ht="15" customHeight="1" x14ac:dyDescent="0.3">
      <c r="A100" s="12" t="s">
        <v>520</v>
      </c>
      <c r="B100" s="13">
        <v>300.42</v>
      </c>
      <c r="C100" s="15">
        <v>3.98</v>
      </c>
      <c r="D100" s="13">
        <v>217.63</v>
      </c>
      <c r="E100" s="13">
        <v>124.7</v>
      </c>
      <c r="F100" s="13">
        <v>291.92</v>
      </c>
      <c r="G100" s="22">
        <v>-129.72999999999999</v>
      </c>
      <c r="H100" s="15">
        <v>53.35</v>
      </c>
      <c r="I100" s="15">
        <v>2.5099999999999998</v>
      </c>
      <c r="J100" s="13">
        <v>118.55</v>
      </c>
      <c r="K100" s="23">
        <v>-73.8</v>
      </c>
      <c r="L100" s="15">
        <v>62</v>
      </c>
      <c r="M100" s="23">
        <v>-9.1</v>
      </c>
      <c r="N100" s="13">
        <v>142.37</v>
      </c>
      <c r="O100" s="22">
        <v>-213.54</v>
      </c>
      <c r="P100" s="15">
        <v>46.88</v>
      </c>
    </row>
    <row r="101" spans="1:16" ht="15" customHeight="1" x14ac:dyDescent="0.3">
      <c r="A101" s="12" t="s">
        <v>521</v>
      </c>
      <c r="B101" s="13">
        <v>300.42</v>
      </c>
      <c r="C101" s="15">
        <v>51.98</v>
      </c>
      <c r="D101" s="13">
        <v>265.63</v>
      </c>
      <c r="E101" s="13">
        <v>169.76</v>
      </c>
      <c r="F101" s="13">
        <v>308.5</v>
      </c>
      <c r="G101" s="22">
        <v>-113.36</v>
      </c>
      <c r="H101" s="15">
        <v>69.75</v>
      </c>
      <c r="I101" s="15">
        <v>2.5099999999999998</v>
      </c>
      <c r="J101" s="13">
        <v>118.55</v>
      </c>
      <c r="K101" s="23">
        <v>-14.28</v>
      </c>
      <c r="L101" s="15">
        <v>62</v>
      </c>
      <c r="M101" s="23">
        <v>-9.1</v>
      </c>
      <c r="N101" s="13">
        <v>142.37</v>
      </c>
      <c r="O101" s="22">
        <v>-213.54</v>
      </c>
      <c r="P101" s="15">
        <v>46.88</v>
      </c>
    </row>
    <row r="102" spans="1:16" ht="15" customHeight="1" x14ac:dyDescent="0.3">
      <c r="A102" s="12" t="s">
        <v>522</v>
      </c>
      <c r="B102" s="19"/>
      <c r="C102" s="19"/>
      <c r="D102" s="19"/>
      <c r="E102" s="19"/>
      <c r="F102" s="15">
        <v>16.57</v>
      </c>
      <c r="G102" s="15">
        <v>16.37</v>
      </c>
      <c r="H102" s="15">
        <v>16.399999999999999</v>
      </c>
      <c r="I102" s="19"/>
      <c r="J102" s="19"/>
      <c r="K102" s="15">
        <v>59.52</v>
      </c>
      <c r="L102" s="19"/>
      <c r="M102" s="19"/>
      <c r="N102" s="19"/>
      <c r="O102" s="19"/>
      <c r="P102" s="19"/>
    </row>
  </sheetData>
  <mergeCells count="75">
    <mergeCell ref="B11"/>
    <mergeCell ref="C11"/>
    <mergeCell ref="D11"/>
    <mergeCell ref="E11"/>
    <mergeCell ref="F11"/>
    <mergeCell ref="G11"/>
    <mergeCell ref="H11"/>
    <mergeCell ref="I11"/>
    <mergeCell ref="J11"/>
    <mergeCell ref="K11"/>
    <mergeCell ref="L11"/>
    <mergeCell ref="M11"/>
    <mergeCell ref="N11"/>
    <mergeCell ref="O11"/>
    <mergeCell ref="P11"/>
    <mergeCell ref="B12"/>
    <mergeCell ref="B13"/>
    <mergeCell ref="B14"/>
    <mergeCell ref="B15"/>
    <mergeCell ref="C12"/>
    <mergeCell ref="C13"/>
    <mergeCell ref="C14"/>
    <mergeCell ref="C15"/>
    <mergeCell ref="D12"/>
    <mergeCell ref="D13"/>
    <mergeCell ref="D14"/>
    <mergeCell ref="D15"/>
    <mergeCell ref="E12"/>
    <mergeCell ref="E13"/>
    <mergeCell ref="E14"/>
    <mergeCell ref="E15"/>
    <mergeCell ref="F12"/>
    <mergeCell ref="F13"/>
    <mergeCell ref="F14"/>
    <mergeCell ref="F15"/>
    <mergeCell ref="G12"/>
    <mergeCell ref="G13"/>
    <mergeCell ref="G14"/>
    <mergeCell ref="G15"/>
    <mergeCell ref="H12"/>
    <mergeCell ref="H13"/>
    <mergeCell ref="H14"/>
    <mergeCell ref="H15"/>
    <mergeCell ref="I12"/>
    <mergeCell ref="I13"/>
    <mergeCell ref="I14"/>
    <mergeCell ref="I15"/>
    <mergeCell ref="J12"/>
    <mergeCell ref="J13"/>
    <mergeCell ref="J14"/>
    <mergeCell ref="J15"/>
    <mergeCell ref="K12"/>
    <mergeCell ref="K13"/>
    <mergeCell ref="K14"/>
    <mergeCell ref="K15"/>
    <mergeCell ref="L12"/>
    <mergeCell ref="L13"/>
    <mergeCell ref="L14"/>
    <mergeCell ref="L15"/>
    <mergeCell ref="M12"/>
    <mergeCell ref="M13"/>
    <mergeCell ref="M14"/>
    <mergeCell ref="M15"/>
    <mergeCell ref="P12"/>
    <mergeCell ref="P13"/>
    <mergeCell ref="P14"/>
    <mergeCell ref="P15"/>
    <mergeCell ref="N12"/>
    <mergeCell ref="N13"/>
    <mergeCell ref="N14"/>
    <mergeCell ref="N15"/>
    <mergeCell ref="O12"/>
    <mergeCell ref="O13"/>
    <mergeCell ref="O14"/>
    <mergeCell ref="O15"/>
  </mergeCells>
  <pageMargins left="0.5" right="0.5" top="1" bottom="1" header="0.5" footer="0.75"/>
  <pageSetup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22"/>
  <sheetViews>
    <sheetView workbookViewId="0"/>
  </sheetViews>
  <sheetFormatPr defaultRowHeight="14.4" outlineLevelRow="1" x14ac:dyDescent="0.3"/>
  <cols>
    <col min="1" max="1" width="85.6640625" customWidth="1"/>
    <col min="2" max="10" width="15.6640625" customWidth="1"/>
  </cols>
  <sheetData>
    <row r="1" spans="1:10" ht="15" customHeight="1" x14ac:dyDescent="0.3">
      <c r="A1" s="1" t="s">
        <v>523</v>
      </c>
      <c r="B1" s="2"/>
      <c r="C1" s="2"/>
      <c r="D1" s="2"/>
      <c r="E1" s="2"/>
      <c r="F1" s="2"/>
      <c r="G1" s="2"/>
      <c r="H1" s="2"/>
      <c r="I1" s="2"/>
      <c r="J1" s="2"/>
    </row>
    <row r="2" spans="1:10" ht="15" customHeight="1" x14ac:dyDescent="0.3">
      <c r="A2" s="3" t="s">
        <v>1</v>
      </c>
      <c r="B2" s="4" t="s">
        <v>2</v>
      </c>
    </row>
    <row r="3" spans="1:10" x14ac:dyDescent="0.3">
      <c r="A3" s="3" t="s">
        <v>3</v>
      </c>
      <c r="B3" s="3" t="s">
        <v>4</v>
      </c>
    </row>
    <row r="4" spans="1:10" x14ac:dyDescent="0.3">
      <c r="A4" s="3" t="s">
        <v>5</v>
      </c>
      <c r="B4" s="3" t="s">
        <v>4</v>
      </c>
    </row>
    <row r="5" spans="1:10" x14ac:dyDescent="0.3">
      <c r="A5" s="3" t="s">
        <v>6</v>
      </c>
      <c r="B5" s="3" t="s">
        <v>7</v>
      </c>
    </row>
    <row r="6" spans="1:10" x14ac:dyDescent="0.3">
      <c r="A6" s="3" t="s">
        <v>8</v>
      </c>
      <c r="B6" s="3" t="s">
        <v>9</v>
      </c>
    </row>
    <row r="7" spans="1:10" x14ac:dyDescent="0.3">
      <c r="A7" s="3" t="s">
        <v>10</v>
      </c>
      <c r="B7" s="3" t="s">
        <v>11</v>
      </c>
    </row>
    <row r="8" spans="1:10" x14ac:dyDescent="0.3">
      <c r="A8" s="3" t="s">
        <v>12</v>
      </c>
      <c r="B8" s="3" t="s">
        <v>13</v>
      </c>
    </row>
    <row r="9" spans="1:10" x14ac:dyDescent="0.3">
      <c r="A9" s="3" t="s">
        <v>14</v>
      </c>
      <c r="B9" s="3" t="s">
        <v>15</v>
      </c>
    </row>
    <row r="10" spans="1:10" x14ac:dyDescent="0.3">
      <c r="A10" s="3" t="s">
        <v>524</v>
      </c>
      <c r="B10" s="3" t="s">
        <v>525</v>
      </c>
    </row>
    <row r="11" spans="1:10" x14ac:dyDescent="0.3">
      <c r="A11" s="6" t="s">
        <v>17</v>
      </c>
      <c r="B11" s="79" t="s">
        <v>18</v>
      </c>
      <c r="C11" s="78" t="s">
        <v>19</v>
      </c>
      <c r="D11" s="78" t="s">
        <v>20</v>
      </c>
      <c r="E11" s="78" t="s">
        <v>21</v>
      </c>
      <c r="F11" s="78" t="s">
        <v>22</v>
      </c>
      <c r="G11" s="78" t="s">
        <v>23</v>
      </c>
      <c r="H11" s="78" t="s">
        <v>24</v>
      </c>
      <c r="I11" s="78" t="s">
        <v>25</v>
      </c>
      <c r="J11" s="78" t="s">
        <v>26</v>
      </c>
    </row>
    <row r="12" spans="1:10" ht="15" customHeight="1" outlineLevel="1" x14ac:dyDescent="0.3">
      <c r="A12" s="7" t="s">
        <v>33</v>
      </c>
      <c r="B12" s="76">
        <v>45657</v>
      </c>
      <c r="C12" s="76">
        <v>45291</v>
      </c>
      <c r="D12" s="76">
        <v>44926</v>
      </c>
      <c r="E12" s="76">
        <v>44561</v>
      </c>
      <c r="F12" s="76">
        <v>44196</v>
      </c>
      <c r="G12" s="76">
        <v>43830</v>
      </c>
      <c r="H12" s="76">
        <v>43465</v>
      </c>
      <c r="I12" s="76">
        <v>43100</v>
      </c>
      <c r="J12" s="76">
        <v>42735</v>
      </c>
    </row>
    <row r="13" spans="1:10" ht="15" customHeight="1" outlineLevel="1" x14ac:dyDescent="0.3">
      <c r="A13" s="7" t="s">
        <v>34</v>
      </c>
      <c r="B13" s="76">
        <v>45657</v>
      </c>
      <c r="C13" s="76">
        <v>45291</v>
      </c>
      <c r="D13" s="76">
        <v>44926</v>
      </c>
      <c r="E13" s="76">
        <v>44561</v>
      </c>
      <c r="F13" s="76">
        <v>44196</v>
      </c>
      <c r="G13" s="76">
        <v>44196</v>
      </c>
      <c r="H13" s="76">
        <v>43465</v>
      </c>
      <c r="I13" s="76">
        <v>43465</v>
      </c>
      <c r="J13" s="76">
        <v>43100</v>
      </c>
    </row>
    <row r="14" spans="1:10" ht="15" customHeight="1" outlineLevel="1" x14ac:dyDescent="0.3">
      <c r="A14" s="7" t="s">
        <v>35</v>
      </c>
      <c r="B14" s="77" t="s">
        <v>36</v>
      </c>
      <c r="C14" s="77" t="s">
        <v>36</v>
      </c>
      <c r="D14" s="77" t="s">
        <v>36</v>
      </c>
      <c r="E14" s="77" t="s">
        <v>36</v>
      </c>
      <c r="F14" s="77" t="s">
        <v>36</v>
      </c>
      <c r="G14" s="77" t="s">
        <v>36</v>
      </c>
      <c r="H14" s="77" t="s">
        <v>36</v>
      </c>
      <c r="I14" s="77" t="s">
        <v>36</v>
      </c>
      <c r="J14" s="77" t="s">
        <v>36</v>
      </c>
    </row>
    <row r="15" spans="1:10" ht="15" customHeight="1" outlineLevel="1" x14ac:dyDescent="0.3">
      <c r="A15" s="7" t="s">
        <v>37</v>
      </c>
      <c r="B15" s="77" t="s">
        <v>526</v>
      </c>
      <c r="C15" s="77" t="s">
        <v>526</v>
      </c>
      <c r="D15" s="77" t="s">
        <v>526</v>
      </c>
      <c r="E15" s="77" t="s">
        <v>526</v>
      </c>
      <c r="F15" s="77" t="s">
        <v>526</v>
      </c>
      <c r="G15" s="77" t="s">
        <v>526</v>
      </c>
      <c r="H15" s="77" t="s">
        <v>526</v>
      </c>
      <c r="I15" s="77" t="s">
        <v>526</v>
      </c>
      <c r="J15" s="77" t="s">
        <v>526</v>
      </c>
    </row>
    <row r="17" spans="1:10" x14ac:dyDescent="0.3">
      <c r="A17" s="8" t="s">
        <v>527</v>
      </c>
      <c r="B17" s="6"/>
      <c r="C17" s="6"/>
      <c r="D17" s="6"/>
      <c r="E17" s="6"/>
      <c r="F17" s="6"/>
      <c r="G17" s="6"/>
      <c r="H17" s="6"/>
      <c r="I17" s="6"/>
      <c r="J17" s="6"/>
    </row>
    <row r="18" spans="1:10" x14ac:dyDescent="0.3">
      <c r="A18" s="8" t="s">
        <v>40</v>
      </c>
      <c r="B18" s="9" t="s">
        <v>41</v>
      </c>
      <c r="C18" s="9" t="s">
        <v>42</v>
      </c>
      <c r="D18" s="9" t="s">
        <v>43</v>
      </c>
      <c r="E18" s="9" t="s">
        <v>44</v>
      </c>
      <c r="F18" s="9" t="s">
        <v>45</v>
      </c>
      <c r="G18" s="9" t="s">
        <v>46</v>
      </c>
      <c r="H18" s="9" t="s">
        <v>47</v>
      </c>
      <c r="I18" s="9" t="s">
        <v>48</v>
      </c>
      <c r="J18" s="9" t="s">
        <v>49</v>
      </c>
    </row>
    <row r="19" spans="1:10" ht="15" customHeight="1" x14ac:dyDescent="0.3">
      <c r="A19" s="10" t="s">
        <v>528</v>
      </c>
      <c r="B19" s="11"/>
      <c r="C19" s="11"/>
      <c r="D19" s="11"/>
      <c r="E19" s="11"/>
      <c r="F19" s="11"/>
      <c r="G19" s="11"/>
      <c r="H19" s="11"/>
      <c r="I19" s="11"/>
      <c r="J19" s="11"/>
    </row>
    <row r="20" spans="1:10" ht="15" customHeight="1" x14ac:dyDescent="0.3">
      <c r="A20" s="12" t="s">
        <v>529</v>
      </c>
      <c r="B20" s="19">
        <v>552253000</v>
      </c>
      <c r="C20" s="19">
        <v>598824000</v>
      </c>
      <c r="D20" s="19">
        <v>1549277000</v>
      </c>
      <c r="E20" s="19">
        <v>1592121000</v>
      </c>
      <c r="F20" s="19">
        <v>915515000</v>
      </c>
      <c r="G20" s="19">
        <v>861386000</v>
      </c>
      <c r="H20" s="19">
        <v>836049000</v>
      </c>
      <c r="I20" s="19">
        <v>563879000</v>
      </c>
      <c r="J20" s="19">
        <v>609612000</v>
      </c>
    </row>
    <row r="21" spans="1:10" ht="15" customHeight="1" x14ac:dyDescent="0.3">
      <c r="A21" s="10" t="s">
        <v>530</v>
      </c>
      <c r="B21" s="11"/>
      <c r="C21" s="11"/>
      <c r="D21" s="11"/>
      <c r="E21" s="11"/>
      <c r="F21" s="11"/>
      <c r="G21" s="11"/>
      <c r="H21" s="11"/>
      <c r="I21" s="11"/>
      <c r="J21" s="11"/>
    </row>
    <row r="22" spans="1:10" ht="15" customHeight="1" x14ac:dyDescent="0.3">
      <c r="A22" s="12" t="s">
        <v>531</v>
      </c>
      <c r="B22" s="19"/>
      <c r="C22" s="19"/>
      <c r="D22" s="19"/>
      <c r="E22" s="19"/>
      <c r="F22" s="19">
        <v>35000000</v>
      </c>
      <c r="G22" s="19"/>
      <c r="H22" s="19"/>
      <c r="I22" s="19"/>
      <c r="J22" s="19"/>
    </row>
  </sheetData>
  <mergeCells count="45">
    <mergeCell ref="G11"/>
    <mergeCell ref="H11"/>
    <mergeCell ref="I11"/>
    <mergeCell ref="J11"/>
    <mergeCell ref="B12"/>
    <mergeCell ref="D12"/>
    <mergeCell ref="F12"/>
    <mergeCell ref="H12"/>
    <mergeCell ref="J12"/>
    <mergeCell ref="B11"/>
    <mergeCell ref="C11"/>
    <mergeCell ref="D11"/>
    <mergeCell ref="E11"/>
    <mergeCell ref="F11"/>
    <mergeCell ref="I12"/>
    <mergeCell ref="G12"/>
    <mergeCell ref="B13"/>
    <mergeCell ref="B14"/>
    <mergeCell ref="B15"/>
    <mergeCell ref="C12"/>
    <mergeCell ref="C13"/>
    <mergeCell ref="C14"/>
    <mergeCell ref="C15"/>
    <mergeCell ref="D13"/>
    <mergeCell ref="D14"/>
    <mergeCell ref="D15"/>
    <mergeCell ref="E12"/>
    <mergeCell ref="E13"/>
    <mergeCell ref="E14"/>
    <mergeCell ref="E15"/>
    <mergeCell ref="F13"/>
    <mergeCell ref="F14"/>
    <mergeCell ref="F15"/>
    <mergeCell ref="G13"/>
    <mergeCell ref="G14"/>
    <mergeCell ref="G15"/>
    <mergeCell ref="J13"/>
    <mergeCell ref="J14"/>
    <mergeCell ref="J15"/>
    <mergeCell ref="H13"/>
    <mergeCell ref="H14"/>
    <mergeCell ref="H15"/>
    <mergeCell ref="I13"/>
    <mergeCell ref="I14"/>
    <mergeCell ref="I15"/>
  </mergeCells>
  <pageMargins left="0.5" right="0.5" top="1" bottom="1" header="0.5" footer="0.75"/>
  <pageSetup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102"/>
  <sheetViews>
    <sheetView topLeftCell="A15" workbookViewId="0">
      <selection activeCell="I29" sqref="I29"/>
    </sheetView>
  </sheetViews>
  <sheetFormatPr defaultRowHeight="14.4" outlineLevelRow="1" x14ac:dyDescent="0.3"/>
  <cols>
    <col min="1" max="1" width="85.6640625" customWidth="1"/>
    <col min="2" max="16" width="15.6640625" customWidth="1"/>
  </cols>
  <sheetData>
    <row r="1" spans="1:16" ht="15" customHeight="1" x14ac:dyDescent="0.3">
      <c r="A1" s="1" t="s">
        <v>532</v>
      </c>
      <c r="B1" s="2"/>
      <c r="C1" s="2"/>
      <c r="D1" s="2"/>
      <c r="E1" s="2"/>
      <c r="F1" s="2"/>
      <c r="G1" s="2"/>
      <c r="H1" s="2"/>
      <c r="I1" s="2"/>
      <c r="J1" s="2"/>
      <c r="K1" s="2"/>
      <c r="L1" s="2"/>
      <c r="M1" s="2"/>
      <c r="N1" s="2"/>
      <c r="O1" s="2"/>
      <c r="P1" s="2"/>
    </row>
    <row r="2" spans="1:16" ht="15" customHeight="1" x14ac:dyDescent="0.3">
      <c r="A2" s="3" t="s">
        <v>1</v>
      </c>
      <c r="B2" s="4" t="s">
        <v>2</v>
      </c>
    </row>
    <row r="3" spans="1:16" x14ac:dyDescent="0.3">
      <c r="A3" s="3" t="s">
        <v>3</v>
      </c>
      <c r="B3" s="3" t="s">
        <v>4</v>
      </c>
    </row>
    <row r="4" spans="1:16" x14ac:dyDescent="0.3">
      <c r="A4" s="3" t="s">
        <v>5</v>
      </c>
      <c r="B4" s="3" t="s">
        <v>4</v>
      </c>
    </row>
    <row r="5" spans="1:16" x14ac:dyDescent="0.3">
      <c r="A5" s="3" t="s">
        <v>6</v>
      </c>
      <c r="B5" s="3" t="s">
        <v>7</v>
      </c>
    </row>
    <row r="6" spans="1:16" x14ac:dyDescent="0.3">
      <c r="A6" s="3" t="s">
        <v>8</v>
      </c>
      <c r="B6" s="3" t="s">
        <v>9</v>
      </c>
    </row>
    <row r="7" spans="1:16" x14ac:dyDescent="0.3">
      <c r="A7" s="3" t="s">
        <v>10</v>
      </c>
      <c r="B7" s="3" t="s">
        <v>11</v>
      </c>
    </row>
    <row r="8" spans="1:16" x14ac:dyDescent="0.3">
      <c r="A8" s="3" t="s">
        <v>12</v>
      </c>
      <c r="B8" s="3" t="s">
        <v>13</v>
      </c>
    </row>
    <row r="9" spans="1:16" x14ac:dyDescent="0.3">
      <c r="A9" s="3" t="s">
        <v>14</v>
      </c>
      <c r="B9" s="3" t="s">
        <v>15</v>
      </c>
    </row>
    <row r="10" spans="1:16" x14ac:dyDescent="0.3">
      <c r="A10" s="3" t="s">
        <v>16</v>
      </c>
      <c r="B10" s="5">
        <v>45835.8231784491</v>
      </c>
    </row>
    <row r="11" spans="1:16" x14ac:dyDescent="0.3">
      <c r="A11" s="6" t="s">
        <v>17</v>
      </c>
      <c r="B11" s="78" t="s">
        <v>18</v>
      </c>
      <c r="C11" s="78" t="s">
        <v>19</v>
      </c>
      <c r="D11" s="78" t="s">
        <v>20</v>
      </c>
      <c r="E11" s="78" t="s">
        <v>21</v>
      </c>
      <c r="F11" s="78" t="s">
        <v>22</v>
      </c>
      <c r="G11" s="78" t="s">
        <v>23</v>
      </c>
      <c r="H11" s="78" t="s">
        <v>24</v>
      </c>
      <c r="I11" s="78" t="s">
        <v>25</v>
      </c>
      <c r="J11" s="78" t="s">
        <v>26</v>
      </c>
      <c r="K11" s="78" t="s">
        <v>27</v>
      </c>
      <c r="L11" s="78" t="s">
        <v>28</v>
      </c>
      <c r="M11" s="78" t="s">
        <v>29</v>
      </c>
      <c r="N11" s="78" t="s">
        <v>30</v>
      </c>
      <c r="O11" s="78" t="s">
        <v>31</v>
      </c>
      <c r="P11" s="78" t="s">
        <v>32</v>
      </c>
    </row>
    <row r="12" spans="1:16" ht="15" customHeight="1" outlineLevel="1" x14ac:dyDescent="0.3">
      <c r="A12" s="7" t="s">
        <v>33</v>
      </c>
      <c r="B12" s="76">
        <v>45657</v>
      </c>
      <c r="C12" s="76">
        <v>45291</v>
      </c>
      <c r="D12" s="76">
        <v>44926</v>
      </c>
      <c r="E12" s="76">
        <v>44561</v>
      </c>
      <c r="F12" s="76">
        <v>44196</v>
      </c>
      <c r="G12" s="76">
        <v>43830</v>
      </c>
      <c r="H12" s="76">
        <v>43465</v>
      </c>
      <c r="I12" s="76">
        <v>43100</v>
      </c>
      <c r="J12" s="76">
        <v>42735</v>
      </c>
      <c r="K12" s="76">
        <v>42369</v>
      </c>
      <c r="L12" s="76">
        <v>42004</v>
      </c>
      <c r="M12" s="76">
        <v>41639</v>
      </c>
      <c r="N12" s="76">
        <v>41274</v>
      </c>
      <c r="O12" s="76">
        <v>40908</v>
      </c>
      <c r="P12" s="76">
        <v>40543</v>
      </c>
    </row>
    <row r="13" spans="1:16" ht="15" customHeight="1" outlineLevel="1" x14ac:dyDescent="0.3">
      <c r="A13" s="7" t="s">
        <v>34</v>
      </c>
      <c r="B13" s="76">
        <v>45657</v>
      </c>
      <c r="C13" s="76">
        <v>45291</v>
      </c>
      <c r="D13" s="76">
        <v>44926</v>
      </c>
      <c r="E13" s="76">
        <v>44561</v>
      </c>
      <c r="F13" s="76">
        <v>44196</v>
      </c>
      <c r="G13" s="76">
        <v>44196</v>
      </c>
      <c r="H13" s="76">
        <v>44196</v>
      </c>
      <c r="I13" s="76">
        <v>43465</v>
      </c>
      <c r="J13" s="76">
        <v>43465</v>
      </c>
      <c r="K13" s="76">
        <v>43100</v>
      </c>
      <c r="L13" s="76">
        <v>42369</v>
      </c>
      <c r="M13" s="76">
        <v>42369</v>
      </c>
      <c r="N13" s="76">
        <v>42004</v>
      </c>
      <c r="O13" s="76">
        <v>41274</v>
      </c>
      <c r="P13" s="76">
        <v>41274</v>
      </c>
    </row>
    <row r="14" spans="1:16" ht="15" customHeight="1" outlineLevel="1" x14ac:dyDescent="0.3">
      <c r="A14" s="7" t="s">
        <v>35</v>
      </c>
      <c r="B14" s="77" t="s">
        <v>36</v>
      </c>
      <c r="C14" s="77" t="s">
        <v>36</v>
      </c>
      <c r="D14" s="77" t="s">
        <v>36</v>
      </c>
      <c r="E14" s="77" t="s">
        <v>36</v>
      </c>
      <c r="F14" s="77" t="s">
        <v>36</v>
      </c>
      <c r="G14" s="77" t="s">
        <v>36</v>
      </c>
      <c r="H14" s="77" t="s">
        <v>36</v>
      </c>
      <c r="I14" s="77" t="s">
        <v>36</v>
      </c>
      <c r="J14" s="77" t="s">
        <v>36</v>
      </c>
      <c r="K14" s="77" t="s">
        <v>36</v>
      </c>
      <c r="L14" s="77" t="s">
        <v>36</v>
      </c>
      <c r="M14" s="77" t="s">
        <v>36</v>
      </c>
      <c r="N14" s="77" t="s">
        <v>36</v>
      </c>
      <c r="O14" s="77" t="s">
        <v>36</v>
      </c>
      <c r="P14" s="77" t="s">
        <v>36</v>
      </c>
    </row>
    <row r="15" spans="1:16" ht="15" customHeight="1" outlineLevel="1" x14ac:dyDescent="0.3">
      <c r="A15" s="7" t="s">
        <v>37</v>
      </c>
      <c r="B15" s="77" t="s">
        <v>38</v>
      </c>
      <c r="C15" s="77" t="s">
        <v>38</v>
      </c>
      <c r="D15" s="77" t="s">
        <v>38</v>
      </c>
      <c r="E15" s="77" t="s">
        <v>38</v>
      </c>
      <c r="F15" s="77" t="s">
        <v>38</v>
      </c>
      <c r="G15" s="77" t="s">
        <v>38</v>
      </c>
      <c r="H15" s="77" t="s">
        <v>38</v>
      </c>
      <c r="I15" s="77" t="s">
        <v>38</v>
      </c>
      <c r="J15" s="77" t="s">
        <v>38</v>
      </c>
      <c r="K15" s="77" t="s">
        <v>38</v>
      </c>
      <c r="L15" s="77" t="s">
        <v>38</v>
      </c>
      <c r="M15" s="77" t="s">
        <v>38</v>
      </c>
      <c r="N15" s="77" t="s">
        <v>38</v>
      </c>
      <c r="O15" s="77" t="s">
        <v>38</v>
      </c>
      <c r="P15" s="77" t="s">
        <v>38</v>
      </c>
    </row>
    <row r="17" spans="1:16" x14ac:dyDescent="0.3">
      <c r="A17" s="8" t="s">
        <v>533</v>
      </c>
      <c r="B17" s="6"/>
      <c r="C17" s="6"/>
      <c r="D17" s="6"/>
      <c r="E17" s="6"/>
      <c r="F17" s="6"/>
      <c r="G17" s="6"/>
      <c r="H17" s="6"/>
      <c r="I17" s="6"/>
      <c r="J17" s="6"/>
      <c r="K17" s="6"/>
      <c r="L17" s="6"/>
      <c r="M17" s="6"/>
      <c r="N17" s="6"/>
      <c r="O17" s="6"/>
      <c r="P17" s="6"/>
    </row>
    <row r="18" spans="1:16" x14ac:dyDescent="0.3">
      <c r="A18" s="8" t="s">
        <v>40</v>
      </c>
      <c r="B18" s="9" t="s">
        <v>41</v>
      </c>
      <c r="C18" s="9" t="s">
        <v>42</v>
      </c>
      <c r="D18" s="9" t="s">
        <v>43</v>
      </c>
      <c r="E18" s="9" t="s">
        <v>44</v>
      </c>
      <c r="F18" s="9" t="s">
        <v>45</v>
      </c>
      <c r="G18" s="9" t="s">
        <v>46</v>
      </c>
      <c r="H18" s="9" t="s">
        <v>47</v>
      </c>
      <c r="I18" s="9" t="s">
        <v>48</v>
      </c>
      <c r="J18" s="9" t="s">
        <v>49</v>
      </c>
      <c r="K18" s="9" t="s">
        <v>50</v>
      </c>
      <c r="L18" s="9" t="s">
        <v>51</v>
      </c>
      <c r="M18" s="9" t="s">
        <v>52</v>
      </c>
      <c r="N18" s="9" t="s">
        <v>53</v>
      </c>
      <c r="O18" s="9" t="s">
        <v>54</v>
      </c>
      <c r="P18" s="9" t="s">
        <v>55</v>
      </c>
    </row>
    <row r="19" spans="1:16" ht="15" customHeight="1" x14ac:dyDescent="0.3">
      <c r="A19" s="10" t="s">
        <v>534</v>
      </c>
      <c r="B19" s="11"/>
      <c r="C19" s="11"/>
      <c r="D19" s="11"/>
      <c r="E19" s="11"/>
      <c r="F19" s="11"/>
      <c r="G19" s="11"/>
      <c r="H19" s="11"/>
      <c r="I19" s="11"/>
      <c r="J19" s="11"/>
      <c r="K19" s="11"/>
      <c r="L19" s="11"/>
      <c r="M19" s="11"/>
      <c r="N19" s="11"/>
      <c r="O19" s="11"/>
      <c r="P19" s="11"/>
    </row>
    <row r="20" spans="1:16" ht="15" customHeight="1" x14ac:dyDescent="0.3">
      <c r="A20" s="12" t="s">
        <v>60</v>
      </c>
      <c r="B20" s="13">
        <v>2509.77</v>
      </c>
      <c r="C20" s="13">
        <v>2292.91</v>
      </c>
      <c r="D20" s="13">
        <v>2453.2199999999998</v>
      </c>
      <c r="E20" s="13">
        <v>2283.5300000000002</v>
      </c>
      <c r="F20" s="13">
        <v>1857.48</v>
      </c>
      <c r="G20" s="13">
        <v>1351.4</v>
      </c>
      <c r="H20" s="13">
        <v>1157.3599999999999</v>
      </c>
      <c r="I20" s="13">
        <v>876.97</v>
      </c>
      <c r="J20" s="13">
        <v>874.45</v>
      </c>
      <c r="K20" s="13">
        <v>654.16999999999996</v>
      </c>
      <c r="L20" s="13">
        <v>498.75</v>
      </c>
      <c r="M20" s="13">
        <v>432.36</v>
      </c>
      <c r="N20" s="13">
        <v>903.46</v>
      </c>
      <c r="O20" s="13">
        <v>728.66</v>
      </c>
      <c r="P20" s="13">
        <v>776.89</v>
      </c>
    </row>
    <row r="21" spans="1:16" ht="15" customHeight="1" x14ac:dyDescent="0.3">
      <c r="A21" s="12" t="s">
        <v>67</v>
      </c>
      <c r="B21" s="13">
        <v>1033.77</v>
      </c>
      <c r="C21" s="13">
        <v>854.48</v>
      </c>
      <c r="D21" s="13">
        <v>1059.01</v>
      </c>
      <c r="E21" s="13">
        <v>1015.38</v>
      </c>
      <c r="F21" s="13">
        <v>1219.54</v>
      </c>
      <c r="G21" s="13">
        <v>868.74</v>
      </c>
      <c r="H21" s="13">
        <v>782.07</v>
      </c>
      <c r="I21" s="13">
        <v>592.02</v>
      </c>
      <c r="J21" s="13">
        <v>646.63</v>
      </c>
      <c r="K21" s="13">
        <v>492.22</v>
      </c>
      <c r="L21" s="13">
        <v>411.09</v>
      </c>
      <c r="M21" s="13">
        <v>348.01</v>
      </c>
      <c r="N21" s="13">
        <v>695.7</v>
      </c>
      <c r="O21" s="13">
        <v>528.55999999999995</v>
      </c>
      <c r="P21" s="13">
        <v>576.65</v>
      </c>
    </row>
    <row r="22" spans="1:16" ht="15" customHeight="1" x14ac:dyDescent="0.3">
      <c r="A22" s="12" t="s">
        <v>77</v>
      </c>
      <c r="B22" s="13">
        <v>427.59</v>
      </c>
      <c r="C22" s="13">
        <v>239.71</v>
      </c>
      <c r="D22" s="13">
        <v>435.85</v>
      </c>
      <c r="E22" s="13">
        <v>420.28</v>
      </c>
      <c r="F22" s="13">
        <v>322.83</v>
      </c>
      <c r="G22" s="13">
        <v>115.34</v>
      </c>
      <c r="H22" s="13">
        <v>171.69</v>
      </c>
      <c r="I22" s="15">
        <v>38.42</v>
      </c>
      <c r="J22" s="13">
        <v>129.26</v>
      </c>
      <c r="K22" s="15">
        <v>26.34</v>
      </c>
      <c r="L22" s="15">
        <v>32.369999999999997</v>
      </c>
      <c r="M22" s="15">
        <v>0.09</v>
      </c>
      <c r="N22" s="15">
        <v>89.54</v>
      </c>
      <c r="O22" s="23">
        <v>-1.77</v>
      </c>
      <c r="P22" s="15">
        <v>45.47</v>
      </c>
    </row>
    <row r="23" spans="1:16" ht="15" customHeight="1" x14ac:dyDescent="0.3">
      <c r="A23" s="12" t="s">
        <v>172</v>
      </c>
      <c r="B23" s="13">
        <v>582.82000000000005</v>
      </c>
      <c r="C23" s="13">
        <v>394.82</v>
      </c>
      <c r="D23" s="13">
        <v>596.29</v>
      </c>
      <c r="E23" s="13">
        <v>582.20000000000005</v>
      </c>
      <c r="F23" s="13">
        <v>429.98</v>
      </c>
      <c r="G23" s="13">
        <v>202.33</v>
      </c>
      <c r="H23" s="13">
        <v>235.68</v>
      </c>
      <c r="I23" s="15">
        <v>94.76</v>
      </c>
      <c r="J23" s="13">
        <v>187.84</v>
      </c>
      <c r="K23" s="15">
        <v>78.3</v>
      </c>
      <c r="L23" s="15">
        <v>64.55</v>
      </c>
      <c r="M23" s="15">
        <v>30.61</v>
      </c>
      <c r="N23" s="13">
        <v>138.87</v>
      </c>
      <c r="O23" s="15">
        <v>38.29</v>
      </c>
      <c r="P23" s="15">
        <v>90.37</v>
      </c>
    </row>
    <row r="24" spans="1:16" ht="15" customHeight="1" x14ac:dyDescent="0.3">
      <c r="A24" s="12" t="s">
        <v>110</v>
      </c>
      <c r="B24" s="13">
        <v>146.22</v>
      </c>
      <c r="C24" s="22">
        <v>-947.78</v>
      </c>
      <c r="D24" s="13">
        <v>195.9</v>
      </c>
      <c r="E24" s="13">
        <v>115.9</v>
      </c>
      <c r="F24" s="13">
        <v>153.56</v>
      </c>
      <c r="G24" s="23">
        <v>-1.91</v>
      </c>
      <c r="H24" s="15">
        <v>69.89</v>
      </c>
      <c r="I24" s="23">
        <v>-16.22</v>
      </c>
      <c r="J24" s="15">
        <v>59.92</v>
      </c>
      <c r="K24" s="23">
        <v>-73.87</v>
      </c>
      <c r="L24" s="15">
        <v>9.4600000000000009</v>
      </c>
      <c r="M24" s="23">
        <v>-10.09</v>
      </c>
      <c r="N24" s="15">
        <v>39.92</v>
      </c>
      <c r="O24" s="23">
        <v>-15.69</v>
      </c>
      <c r="P24" s="15">
        <v>28.87</v>
      </c>
    </row>
    <row r="25" spans="1:16" ht="15" customHeight="1" x14ac:dyDescent="0.3">
      <c r="A25" s="10" t="s">
        <v>535</v>
      </c>
      <c r="B25" s="11"/>
      <c r="C25" s="11"/>
      <c r="D25" s="11"/>
      <c r="E25" s="11"/>
      <c r="F25" s="11"/>
      <c r="G25" s="11"/>
      <c r="H25" s="11"/>
      <c r="I25" s="11"/>
      <c r="J25" s="11"/>
      <c r="K25" s="11"/>
      <c r="L25" s="11"/>
      <c r="M25" s="11"/>
      <c r="N25" s="11"/>
      <c r="O25" s="11"/>
      <c r="P25" s="11"/>
    </row>
    <row r="26" spans="1:16" s="34" customFormat="1" ht="15" customHeight="1" x14ac:dyDescent="0.3">
      <c r="A26" s="37" t="s">
        <v>218</v>
      </c>
      <c r="B26" s="33">
        <v>23.85</v>
      </c>
      <c r="C26" s="33">
        <v>35.32</v>
      </c>
      <c r="D26" s="33">
        <v>18.03</v>
      </c>
      <c r="E26" s="33">
        <v>66.22</v>
      </c>
      <c r="F26" s="32">
        <v>576.02</v>
      </c>
      <c r="G26" s="33">
        <v>32.97</v>
      </c>
      <c r="H26" s="32">
        <v>102.01</v>
      </c>
      <c r="I26" s="32">
        <v>148.69999999999999</v>
      </c>
      <c r="J26" s="32">
        <v>134.35</v>
      </c>
      <c r="K26" s="32">
        <v>108.06</v>
      </c>
      <c r="L26" s="32">
        <v>158.46</v>
      </c>
      <c r="M26" s="32">
        <v>221.26</v>
      </c>
      <c r="N26" s="32">
        <v>242.64</v>
      </c>
      <c r="O26" s="32">
        <v>127.89</v>
      </c>
      <c r="P26" s="32">
        <v>204.92</v>
      </c>
    </row>
    <row r="27" spans="1:16" ht="15" customHeight="1" x14ac:dyDescent="0.3">
      <c r="A27" s="12" t="s">
        <v>217</v>
      </c>
      <c r="B27" s="15">
        <v>23.85</v>
      </c>
      <c r="C27" s="15">
        <v>35.32</v>
      </c>
      <c r="D27" s="15">
        <v>18.03</v>
      </c>
      <c r="E27" s="15">
        <v>66.22</v>
      </c>
      <c r="F27" s="13">
        <v>576.02</v>
      </c>
      <c r="G27" s="15">
        <v>32.97</v>
      </c>
      <c r="H27" s="13">
        <v>102.01</v>
      </c>
      <c r="I27" s="13">
        <v>148.69999999999999</v>
      </c>
      <c r="J27" s="13">
        <v>134.35</v>
      </c>
      <c r="K27" s="13">
        <v>108.06</v>
      </c>
      <c r="L27" s="13">
        <v>158.46</v>
      </c>
      <c r="M27" s="13">
        <v>221.26</v>
      </c>
      <c r="N27" s="13">
        <v>242.64</v>
      </c>
      <c r="O27" s="13">
        <v>127.89</v>
      </c>
      <c r="P27" s="13">
        <v>204.92</v>
      </c>
    </row>
    <row r="28" spans="1:16" ht="15" customHeight="1" x14ac:dyDescent="0.3">
      <c r="A28" s="12" t="s">
        <v>271</v>
      </c>
      <c r="B28" s="13">
        <v>5198.58</v>
      </c>
      <c r="C28" s="13">
        <v>5410.12</v>
      </c>
      <c r="D28" s="13">
        <v>6431.01</v>
      </c>
      <c r="E28" s="13">
        <v>6658.31</v>
      </c>
      <c r="F28" s="13">
        <v>4859.3900000000003</v>
      </c>
      <c r="G28" s="13">
        <v>3561.86</v>
      </c>
      <c r="H28" s="13">
        <v>2130.06</v>
      </c>
      <c r="I28" s="13">
        <v>2129.5500000000002</v>
      </c>
      <c r="J28" s="13">
        <v>1735.91</v>
      </c>
      <c r="K28" s="13">
        <v>1680.86</v>
      </c>
      <c r="L28" s="13">
        <v>1031.0999999999999</v>
      </c>
      <c r="M28" s="13">
        <v>966.13</v>
      </c>
      <c r="N28" s="13">
        <v>1030.77</v>
      </c>
      <c r="O28" s="13">
        <v>970.53</v>
      </c>
      <c r="P28" s="13">
        <v>827.54</v>
      </c>
    </row>
    <row r="29" spans="1:16" s="34" customFormat="1" ht="15" customHeight="1" x14ac:dyDescent="0.3">
      <c r="A29" s="37" t="s">
        <v>363</v>
      </c>
      <c r="B29" s="32">
        <v>2607.19</v>
      </c>
      <c r="C29" s="32">
        <v>2942.58</v>
      </c>
      <c r="D29" s="32">
        <v>2900.89</v>
      </c>
      <c r="E29" s="32">
        <v>3148.01</v>
      </c>
      <c r="F29" s="32">
        <v>2933.97</v>
      </c>
      <c r="G29" s="32">
        <v>1915.03</v>
      </c>
      <c r="H29" s="32">
        <v>688.76</v>
      </c>
      <c r="I29" s="32">
        <v>693.28</v>
      </c>
      <c r="J29" s="32">
        <v>393.19</v>
      </c>
      <c r="K29" s="32">
        <v>399.14</v>
      </c>
      <c r="L29" s="32">
        <v>196.37</v>
      </c>
      <c r="M29" s="32">
        <v>200</v>
      </c>
      <c r="N29" s="32">
        <v>196.1</v>
      </c>
      <c r="O29" s="32">
        <v>212</v>
      </c>
      <c r="P29" s="38">
        <v>0</v>
      </c>
    </row>
    <row r="30" spans="1:16" ht="15" customHeight="1" x14ac:dyDescent="0.3">
      <c r="A30" s="12" t="s">
        <v>318</v>
      </c>
      <c r="B30" s="13">
        <v>901.16</v>
      </c>
      <c r="C30" s="13">
        <v>741.63</v>
      </c>
      <c r="D30" s="13">
        <v>1718.58</v>
      </c>
      <c r="E30" s="13">
        <v>1560.5</v>
      </c>
      <c r="F30" s="13">
        <v>1163.27</v>
      </c>
      <c r="G30" s="13">
        <v>897.94</v>
      </c>
      <c r="H30" s="13">
        <v>926.17</v>
      </c>
      <c r="I30" s="13">
        <v>936.85</v>
      </c>
      <c r="J30" s="13">
        <v>945.94</v>
      </c>
      <c r="K30" s="13">
        <v>900.98</v>
      </c>
      <c r="L30" s="13">
        <v>518.28</v>
      </c>
      <c r="M30" s="13">
        <v>545.77</v>
      </c>
      <c r="N30" s="13">
        <v>537.70000000000005</v>
      </c>
      <c r="O30" s="13">
        <v>514.52</v>
      </c>
      <c r="P30" s="13">
        <v>588.9</v>
      </c>
    </row>
    <row r="31" spans="1:16" ht="15" customHeight="1" x14ac:dyDescent="0.3">
      <c r="A31" s="10" t="s">
        <v>536</v>
      </c>
      <c r="B31" s="11"/>
      <c r="C31" s="11"/>
      <c r="D31" s="11"/>
      <c r="E31" s="11"/>
      <c r="F31" s="11"/>
      <c r="G31" s="11"/>
      <c r="H31" s="11"/>
      <c r="I31" s="11"/>
      <c r="J31" s="11"/>
      <c r="K31" s="11"/>
      <c r="L31" s="11"/>
      <c r="M31" s="11"/>
      <c r="N31" s="11"/>
      <c r="O31" s="11"/>
      <c r="P31" s="11"/>
    </row>
    <row r="32" spans="1:16" ht="15" customHeight="1" x14ac:dyDescent="0.3">
      <c r="A32" s="12" t="s">
        <v>462</v>
      </c>
      <c r="B32" s="13">
        <v>365.68</v>
      </c>
      <c r="C32" s="13">
        <v>111.6</v>
      </c>
      <c r="D32" s="13">
        <v>311.42</v>
      </c>
      <c r="E32" s="13">
        <v>230.94</v>
      </c>
      <c r="F32" s="13">
        <v>355.33</v>
      </c>
      <c r="G32" s="23">
        <v>-27.45</v>
      </c>
      <c r="H32" s="13">
        <v>130.22999999999999</v>
      </c>
      <c r="I32" s="15">
        <v>30.19</v>
      </c>
      <c r="J32" s="13">
        <v>146.49</v>
      </c>
      <c r="K32" s="15">
        <v>8.83</v>
      </c>
      <c r="L32" s="15">
        <v>78.3</v>
      </c>
      <c r="M32" s="15">
        <v>6.76</v>
      </c>
      <c r="N32" s="13">
        <v>172.58</v>
      </c>
      <c r="O32" s="15">
        <v>14.79</v>
      </c>
      <c r="P32" s="15">
        <v>65.97</v>
      </c>
    </row>
    <row r="33" spans="1:16" ht="15" customHeight="1" x14ac:dyDescent="0.3">
      <c r="A33" s="12" t="s">
        <v>445</v>
      </c>
      <c r="B33" s="13">
        <v>155.22999999999999</v>
      </c>
      <c r="C33" s="13">
        <v>1107.1099999999999</v>
      </c>
      <c r="D33" s="13">
        <v>160.43</v>
      </c>
      <c r="E33" s="13">
        <v>161.91999999999999</v>
      </c>
      <c r="F33" s="13">
        <v>107.16</v>
      </c>
      <c r="G33" s="15">
        <v>86.99</v>
      </c>
      <c r="H33" s="15">
        <v>63.99</v>
      </c>
      <c r="I33" s="15">
        <v>92.08</v>
      </c>
      <c r="J33" s="15">
        <v>58.58</v>
      </c>
      <c r="K33" s="15">
        <v>76.569999999999993</v>
      </c>
      <c r="L33" s="15">
        <v>32.18</v>
      </c>
      <c r="M33" s="15">
        <v>30.52</v>
      </c>
      <c r="N33" s="15">
        <v>49.33</v>
      </c>
      <c r="O33" s="15">
        <v>40.07</v>
      </c>
      <c r="P33" s="15">
        <v>44.89</v>
      </c>
    </row>
    <row r="34" spans="1:16" s="34" customFormat="1" ht="15" customHeight="1" x14ac:dyDescent="0.3">
      <c r="A34" s="37" t="s">
        <v>464</v>
      </c>
      <c r="B34" s="33">
        <v>44.79</v>
      </c>
      <c r="C34" s="33">
        <v>59.63</v>
      </c>
      <c r="D34" s="33">
        <v>43.12</v>
      </c>
      <c r="E34" s="33">
        <v>41.11</v>
      </c>
      <c r="F34" s="33">
        <v>18.47</v>
      </c>
      <c r="G34" s="33">
        <v>78.95</v>
      </c>
      <c r="H34" s="33">
        <v>58.95</v>
      </c>
      <c r="I34" s="33">
        <v>27.68</v>
      </c>
      <c r="J34" s="33">
        <v>27.89</v>
      </c>
      <c r="K34" s="33">
        <v>6.88</v>
      </c>
      <c r="L34" s="33">
        <v>10.44</v>
      </c>
      <c r="M34" s="33">
        <v>15.82</v>
      </c>
      <c r="N34" s="33">
        <v>30.21</v>
      </c>
      <c r="O34" s="32">
        <v>226.59</v>
      </c>
      <c r="P34" s="33">
        <v>18.329999999999998</v>
      </c>
    </row>
    <row r="35" spans="1:16" ht="15" customHeight="1" x14ac:dyDescent="0.3">
      <c r="A35" s="12" t="s">
        <v>507</v>
      </c>
      <c r="B35" s="23">
        <v>-11.47</v>
      </c>
      <c r="C35" s="15">
        <v>17.29</v>
      </c>
      <c r="D35" s="23">
        <v>-82.45</v>
      </c>
      <c r="E35" s="22">
        <v>-1525.54</v>
      </c>
      <c r="F35" s="13">
        <v>1593.05</v>
      </c>
      <c r="G35" s="23">
        <v>-74.150000000000006</v>
      </c>
      <c r="H35" s="23">
        <v>-41.58</v>
      </c>
      <c r="I35" s="15">
        <v>14.35</v>
      </c>
      <c r="J35" s="15">
        <v>19.73</v>
      </c>
      <c r="K35" s="23">
        <v>-50.65</v>
      </c>
      <c r="L35" s="23">
        <v>-64.2</v>
      </c>
      <c r="M35" s="23">
        <v>-21.39</v>
      </c>
      <c r="N35" s="13">
        <v>114.75</v>
      </c>
      <c r="O35" s="23">
        <v>-77.03</v>
      </c>
      <c r="P35" s="13">
        <v>197.24</v>
      </c>
    </row>
    <row r="36" spans="1:16" ht="15" customHeight="1" x14ac:dyDescent="0.3">
      <c r="A36" s="12" t="s">
        <v>520</v>
      </c>
      <c r="B36" s="13">
        <v>300.42</v>
      </c>
      <c r="C36" s="15">
        <v>3.98</v>
      </c>
      <c r="D36" s="13">
        <v>217.63</v>
      </c>
      <c r="E36" s="13">
        <v>124.7</v>
      </c>
      <c r="F36" s="13">
        <v>291.92</v>
      </c>
      <c r="G36" s="22">
        <v>-129.72999999999999</v>
      </c>
      <c r="H36" s="15">
        <v>53.35</v>
      </c>
      <c r="I36" s="15">
        <v>2.5099999999999998</v>
      </c>
      <c r="J36" s="13">
        <v>118.55</v>
      </c>
      <c r="K36" s="23">
        <v>-73.8</v>
      </c>
      <c r="L36" s="15">
        <v>62</v>
      </c>
      <c r="M36" s="23">
        <v>-9.1</v>
      </c>
      <c r="N36" s="13">
        <v>142.37</v>
      </c>
      <c r="O36" s="22">
        <v>-213.54</v>
      </c>
      <c r="P36" s="15">
        <v>46.88</v>
      </c>
    </row>
    <row r="37" spans="1:16" ht="15" customHeight="1" x14ac:dyDescent="0.3">
      <c r="A37" s="10" t="s">
        <v>537</v>
      </c>
      <c r="B37" s="11"/>
      <c r="C37" s="11"/>
      <c r="D37" s="11"/>
      <c r="E37" s="11"/>
      <c r="F37" s="11"/>
      <c r="G37" s="11"/>
      <c r="H37" s="11"/>
      <c r="I37" s="11"/>
      <c r="J37" s="11"/>
      <c r="K37" s="11"/>
      <c r="L37" s="11"/>
      <c r="M37" s="11"/>
      <c r="N37" s="11"/>
      <c r="O37" s="11"/>
      <c r="P37" s="11"/>
    </row>
    <row r="38" spans="1:16" ht="15" customHeight="1" x14ac:dyDescent="0.3">
      <c r="A38" s="12" t="s">
        <v>538</v>
      </c>
      <c r="B38" s="28">
        <v>0</v>
      </c>
      <c r="C38" s="28">
        <v>0</v>
      </c>
      <c r="D38" s="28">
        <v>0</v>
      </c>
      <c r="E38" s="28">
        <v>0</v>
      </c>
      <c r="F38" s="28">
        <v>1.31</v>
      </c>
      <c r="G38" s="28">
        <v>1.27</v>
      </c>
      <c r="H38" s="28">
        <v>1.27</v>
      </c>
      <c r="I38" s="28">
        <v>0</v>
      </c>
      <c r="J38" s="28">
        <v>0</v>
      </c>
      <c r="K38" s="28">
        <v>0</v>
      </c>
      <c r="L38" s="28">
        <v>0</v>
      </c>
      <c r="M38" s="28">
        <v>0</v>
      </c>
      <c r="N38" s="28">
        <v>0</v>
      </c>
      <c r="O38" s="28">
        <v>0</v>
      </c>
      <c r="P38" s="28">
        <v>0</v>
      </c>
    </row>
    <row r="39" spans="1:16" ht="15" customHeight="1" x14ac:dyDescent="0.3">
      <c r="A39" s="12" t="s">
        <v>539</v>
      </c>
      <c r="B39" s="28">
        <v>0</v>
      </c>
      <c r="C39" s="28">
        <v>0</v>
      </c>
      <c r="D39" s="28">
        <v>0</v>
      </c>
      <c r="E39" s="28">
        <v>0</v>
      </c>
      <c r="F39" s="28">
        <v>1.31</v>
      </c>
      <c r="G39" s="28">
        <v>1.27</v>
      </c>
      <c r="H39" s="28">
        <v>1.27</v>
      </c>
      <c r="I39" s="28">
        <v>0</v>
      </c>
      <c r="J39" s="28">
        <v>0</v>
      </c>
      <c r="K39" s="28">
        <v>0</v>
      </c>
      <c r="L39" s="28">
        <v>0</v>
      </c>
      <c r="M39" s="28">
        <v>0</v>
      </c>
      <c r="N39" s="28">
        <v>0</v>
      </c>
      <c r="O39" s="28">
        <v>0</v>
      </c>
      <c r="P39" s="28">
        <v>0</v>
      </c>
    </row>
    <row r="40" spans="1:16" ht="15" customHeight="1" x14ac:dyDescent="0.3">
      <c r="A40" s="12" t="s">
        <v>155</v>
      </c>
      <c r="B40" s="15">
        <v>1.02</v>
      </c>
      <c r="C40" s="23">
        <v>-11.84</v>
      </c>
      <c r="D40" s="15">
        <v>1.62</v>
      </c>
      <c r="E40" s="15">
        <v>1.39</v>
      </c>
      <c r="F40" s="15">
        <v>1.83</v>
      </c>
      <c r="G40" s="23">
        <v>-0.02</v>
      </c>
      <c r="H40" s="15">
        <v>0.85</v>
      </c>
      <c r="I40" s="23">
        <v>-0.18</v>
      </c>
      <c r="J40" s="15">
        <v>0.71</v>
      </c>
      <c r="K40" s="23">
        <v>-0.95</v>
      </c>
      <c r="L40" s="15">
        <v>0.17</v>
      </c>
      <c r="M40" s="23">
        <v>-0.18</v>
      </c>
      <c r="N40" s="15">
        <v>0.73</v>
      </c>
      <c r="O40" s="23">
        <v>-0.27</v>
      </c>
      <c r="P40" s="15">
        <v>0.25</v>
      </c>
    </row>
    <row r="41" spans="1:16" ht="15" customHeight="1" x14ac:dyDescent="0.3">
      <c r="A41" s="12" t="s">
        <v>153</v>
      </c>
      <c r="B41" s="15">
        <v>86.07</v>
      </c>
      <c r="C41" s="15">
        <v>84.27</v>
      </c>
      <c r="D41" s="15">
        <v>87.35</v>
      </c>
      <c r="E41" s="15">
        <v>87.98</v>
      </c>
      <c r="F41" s="15">
        <v>81.83</v>
      </c>
      <c r="G41" s="15">
        <v>80.83</v>
      </c>
      <c r="H41" s="15">
        <v>81.93</v>
      </c>
      <c r="I41" s="15">
        <v>82.05</v>
      </c>
      <c r="J41" s="15">
        <v>83.64</v>
      </c>
      <c r="K41" s="15">
        <v>77.37</v>
      </c>
      <c r="L41" s="15">
        <v>57.24</v>
      </c>
      <c r="M41" s="15">
        <v>56.52</v>
      </c>
      <c r="N41" s="15">
        <v>55.38</v>
      </c>
      <c r="O41" s="15">
        <v>57.22</v>
      </c>
      <c r="P41" s="15">
        <v>57</v>
      </c>
    </row>
    <row r="42" spans="1:16" ht="15" customHeight="1" x14ac:dyDescent="0.3">
      <c r="A42" s="10" t="s">
        <v>540</v>
      </c>
      <c r="B42" s="11"/>
      <c r="C42" s="11"/>
      <c r="D42" s="11"/>
      <c r="E42" s="11"/>
      <c r="F42" s="11"/>
      <c r="G42" s="11"/>
      <c r="H42" s="11"/>
      <c r="I42" s="11"/>
      <c r="J42" s="11"/>
      <c r="K42" s="11"/>
      <c r="L42" s="11"/>
      <c r="M42" s="11"/>
      <c r="N42" s="11"/>
      <c r="O42" s="11"/>
      <c r="P42" s="11"/>
    </row>
    <row r="43" spans="1:16" ht="15" customHeight="1" x14ac:dyDescent="0.3">
      <c r="A43" s="12" t="s">
        <v>541</v>
      </c>
      <c r="B43" s="28">
        <v>41.19</v>
      </c>
      <c r="C43" s="28">
        <v>37.270000000000003</v>
      </c>
      <c r="D43" s="28">
        <v>43.17</v>
      </c>
      <c r="E43" s="28">
        <v>44.47</v>
      </c>
      <c r="F43" s="28">
        <v>65.66</v>
      </c>
      <c r="G43" s="28">
        <v>64.28</v>
      </c>
      <c r="H43" s="28">
        <v>67.569999999999993</v>
      </c>
      <c r="I43" s="28">
        <v>67.510000000000005</v>
      </c>
      <c r="J43" s="28">
        <v>73.95</v>
      </c>
      <c r="K43" s="28">
        <v>75.239999999999995</v>
      </c>
      <c r="L43" s="28">
        <v>82.42</v>
      </c>
      <c r="M43" s="28">
        <v>80.489999999999995</v>
      </c>
      <c r="N43" s="28">
        <v>77</v>
      </c>
      <c r="O43" s="28">
        <v>72.540000000000006</v>
      </c>
      <c r="P43" s="28">
        <v>74.22</v>
      </c>
    </row>
    <row r="44" spans="1:16" ht="15" customHeight="1" x14ac:dyDescent="0.3">
      <c r="A44" s="12" t="s">
        <v>542</v>
      </c>
      <c r="B44" s="28">
        <v>23.22</v>
      </c>
      <c r="C44" s="28">
        <v>17.22</v>
      </c>
      <c r="D44" s="28">
        <v>24.31</v>
      </c>
      <c r="E44" s="28">
        <v>25.5</v>
      </c>
      <c r="F44" s="28">
        <v>23.15</v>
      </c>
      <c r="G44" s="28">
        <v>14.97</v>
      </c>
      <c r="H44" s="28">
        <v>20.36</v>
      </c>
      <c r="I44" s="28">
        <v>10.81</v>
      </c>
      <c r="J44" s="28">
        <v>21.48</v>
      </c>
      <c r="K44" s="28">
        <v>11.97</v>
      </c>
      <c r="L44" s="28">
        <v>12.94</v>
      </c>
      <c r="M44" s="28">
        <v>7.08</v>
      </c>
      <c r="N44" s="28">
        <v>15.37</v>
      </c>
      <c r="O44" s="28">
        <v>5.26</v>
      </c>
      <c r="P44" s="28">
        <v>11.63</v>
      </c>
    </row>
    <row r="45" spans="1:16" ht="15" customHeight="1" x14ac:dyDescent="0.3">
      <c r="A45" s="12" t="s">
        <v>543</v>
      </c>
      <c r="B45" s="28">
        <v>17.04</v>
      </c>
      <c r="C45" s="28">
        <v>10.45</v>
      </c>
      <c r="D45" s="28">
        <v>17.77</v>
      </c>
      <c r="E45" s="28">
        <v>18.399999999999999</v>
      </c>
      <c r="F45" s="28">
        <v>17.38</v>
      </c>
      <c r="G45" s="28">
        <v>8.5299999999999994</v>
      </c>
      <c r="H45" s="28">
        <v>14.83</v>
      </c>
      <c r="I45" s="28">
        <v>4.38</v>
      </c>
      <c r="J45" s="28">
        <v>14.78</v>
      </c>
      <c r="K45" s="28">
        <v>4.03</v>
      </c>
      <c r="L45" s="28">
        <v>6.49</v>
      </c>
      <c r="M45" s="28">
        <v>0.02</v>
      </c>
      <c r="N45" s="28">
        <v>9.91</v>
      </c>
      <c r="O45" s="30">
        <v>-0.24</v>
      </c>
      <c r="P45" s="28">
        <v>5.85</v>
      </c>
    </row>
    <row r="46" spans="1:16" ht="15" customHeight="1" x14ac:dyDescent="0.3">
      <c r="A46" s="12" t="s">
        <v>544</v>
      </c>
      <c r="B46" s="28">
        <v>8.3699999999999992</v>
      </c>
      <c r="C46" s="30">
        <v>-42.2</v>
      </c>
      <c r="D46" s="28">
        <v>11.27</v>
      </c>
      <c r="E46" s="28">
        <v>8.19</v>
      </c>
      <c r="F46" s="28">
        <v>11.25</v>
      </c>
      <c r="G46" s="28">
        <v>7.0000000000000007E-2</v>
      </c>
      <c r="H46" s="28">
        <v>8.01</v>
      </c>
      <c r="I46" s="30">
        <v>-3.66</v>
      </c>
      <c r="J46" s="28">
        <v>10.66</v>
      </c>
      <c r="K46" s="30">
        <v>-17.079999999999998</v>
      </c>
      <c r="L46" s="28">
        <v>1.87</v>
      </c>
      <c r="M46" s="30">
        <v>-5.09</v>
      </c>
      <c r="N46" s="28">
        <v>6.3</v>
      </c>
      <c r="O46" s="30">
        <v>-3.53</v>
      </c>
      <c r="P46" s="28">
        <v>3.82</v>
      </c>
    </row>
    <row r="47" spans="1:16" s="34" customFormat="1" ht="15" customHeight="1" x14ac:dyDescent="0.3">
      <c r="A47" s="37" t="s">
        <v>545</v>
      </c>
      <c r="B47" s="39">
        <v>30.37</v>
      </c>
      <c r="C47" s="39"/>
      <c r="D47" s="39">
        <v>29.14</v>
      </c>
      <c r="E47" s="39">
        <v>38.049999999999997</v>
      </c>
      <c r="F47" s="39">
        <v>26.53</v>
      </c>
      <c r="G47" s="39">
        <v>290.54000000000002</v>
      </c>
      <c r="H47" s="39">
        <v>24.58</v>
      </c>
      <c r="I47" s="39"/>
      <c r="J47" s="39">
        <v>35.700000000000003</v>
      </c>
      <c r="K47" s="39"/>
      <c r="L47" s="40">
        <v>-1.19</v>
      </c>
      <c r="M47" s="39"/>
      <c r="N47" s="39">
        <v>29.85</v>
      </c>
      <c r="O47" s="39"/>
      <c r="P47" s="39">
        <v>2.83</v>
      </c>
    </row>
    <row r="48" spans="1:16" ht="15" customHeight="1" x14ac:dyDescent="0.3">
      <c r="A48" s="12" t="s">
        <v>546</v>
      </c>
      <c r="B48" s="28">
        <v>5.83</v>
      </c>
      <c r="C48" s="30">
        <v>-41.34</v>
      </c>
      <c r="D48" s="28">
        <v>7.99</v>
      </c>
      <c r="E48" s="28">
        <v>5.08</v>
      </c>
      <c r="F48" s="28">
        <v>8.27</v>
      </c>
      <c r="G48" s="30">
        <v>-0.14000000000000001</v>
      </c>
      <c r="H48" s="28">
        <v>6.04</v>
      </c>
      <c r="I48" s="30">
        <v>-1.85</v>
      </c>
      <c r="J48" s="28">
        <v>6.85</v>
      </c>
      <c r="K48" s="30">
        <v>-11.29</v>
      </c>
      <c r="L48" s="28">
        <v>1.9</v>
      </c>
      <c r="M48" s="30">
        <v>-2.33</v>
      </c>
      <c r="N48" s="28">
        <v>4.42</v>
      </c>
      <c r="O48" s="30">
        <v>-2.15</v>
      </c>
      <c r="P48" s="28">
        <v>3.72</v>
      </c>
    </row>
    <row r="49" spans="1:16" ht="15" customHeight="1" x14ac:dyDescent="0.3">
      <c r="A49" s="12" t="s">
        <v>521</v>
      </c>
      <c r="B49" s="13">
        <v>300.42</v>
      </c>
      <c r="C49" s="15">
        <v>51.98</v>
      </c>
      <c r="D49" s="13">
        <v>265.63</v>
      </c>
      <c r="E49" s="13">
        <v>169.76</v>
      </c>
      <c r="F49" s="13">
        <v>308.5</v>
      </c>
      <c r="G49" s="22">
        <v>-113.36</v>
      </c>
      <c r="H49" s="15">
        <v>69.75</v>
      </c>
      <c r="I49" s="15">
        <v>2.5099999999999998</v>
      </c>
      <c r="J49" s="13">
        <v>118.55</v>
      </c>
      <c r="K49" s="23">
        <v>-14.28</v>
      </c>
      <c r="L49" s="15">
        <v>62</v>
      </c>
      <c r="M49" s="23">
        <v>-9.1</v>
      </c>
      <c r="N49" s="13">
        <v>142.37</v>
      </c>
      <c r="O49" s="22">
        <v>-213.54</v>
      </c>
      <c r="P49" s="15">
        <v>46.88</v>
      </c>
    </row>
    <row r="50" spans="1:16" ht="15" customHeight="1" x14ac:dyDescent="0.3">
      <c r="A50" s="12" t="s">
        <v>547</v>
      </c>
      <c r="B50" s="28">
        <v>10.67</v>
      </c>
      <c r="C50" s="30">
        <v>-81.14</v>
      </c>
      <c r="D50" s="28">
        <v>8.66</v>
      </c>
      <c r="E50" s="28">
        <v>4.88</v>
      </c>
      <c r="F50" s="28">
        <v>14.54</v>
      </c>
      <c r="G50" s="30">
        <v>-0.21</v>
      </c>
      <c r="H50" s="28">
        <v>7.45</v>
      </c>
      <c r="I50" s="30">
        <v>-1.56</v>
      </c>
      <c r="J50" s="28">
        <v>6.4</v>
      </c>
      <c r="K50" s="30">
        <v>-10.41</v>
      </c>
      <c r="L50" s="28">
        <v>1.78</v>
      </c>
      <c r="M50" s="30">
        <v>-1.86</v>
      </c>
      <c r="N50" s="28">
        <v>7.64</v>
      </c>
      <c r="O50" s="30">
        <v>-2.82</v>
      </c>
      <c r="P50" s="28">
        <v>2.82</v>
      </c>
    </row>
    <row r="51" spans="1:16" ht="15" customHeight="1" x14ac:dyDescent="0.3">
      <c r="A51" s="12" t="s">
        <v>548</v>
      </c>
      <c r="B51" s="28">
        <v>2.76</v>
      </c>
      <c r="C51" s="30">
        <v>-16.010000000000002</v>
      </c>
      <c r="D51" s="28">
        <v>2.99</v>
      </c>
      <c r="E51" s="28"/>
      <c r="F51" s="28">
        <v>3.65</v>
      </c>
      <c r="G51" s="30">
        <v>-7.0000000000000007E-2</v>
      </c>
      <c r="H51" s="28">
        <v>3.28</v>
      </c>
      <c r="I51" s="30">
        <v>-0.84</v>
      </c>
      <c r="J51" s="28">
        <v>3.51</v>
      </c>
      <c r="K51" s="30">
        <v>-5.45</v>
      </c>
      <c r="L51" s="28">
        <v>0.95</v>
      </c>
      <c r="M51" s="30">
        <v>-1.01</v>
      </c>
      <c r="N51" s="28">
        <v>3.99</v>
      </c>
      <c r="O51" s="30">
        <v>-1.74</v>
      </c>
      <c r="P51" s="28">
        <v>3.58</v>
      </c>
    </row>
    <row r="52" spans="1:16" ht="15" customHeight="1" x14ac:dyDescent="0.3">
      <c r="A52" s="12" t="s">
        <v>549</v>
      </c>
      <c r="B52" s="28">
        <v>7.3</v>
      </c>
      <c r="C52" s="28"/>
      <c r="D52" s="28">
        <v>6.11</v>
      </c>
      <c r="E52" s="28">
        <v>4.88</v>
      </c>
      <c r="F52" s="28">
        <v>9.77</v>
      </c>
      <c r="G52" s="30">
        <v>-7.77</v>
      </c>
      <c r="H52" s="28">
        <v>2.94</v>
      </c>
      <c r="I52" s="28"/>
      <c r="J52" s="28">
        <v>5.97</v>
      </c>
      <c r="K52" s="28"/>
      <c r="L52" s="28">
        <v>2.61</v>
      </c>
      <c r="M52" s="28"/>
      <c r="N52" s="28">
        <v>6.66</v>
      </c>
      <c r="O52" s="28"/>
      <c r="P52" s="28">
        <v>25.27</v>
      </c>
    </row>
    <row r="53" spans="1:16" ht="15" customHeight="1" x14ac:dyDescent="0.3">
      <c r="A53" s="10" t="s">
        <v>550</v>
      </c>
      <c r="B53" s="11"/>
      <c r="C53" s="11"/>
      <c r="D53" s="11"/>
      <c r="E53" s="11"/>
      <c r="F53" s="11"/>
      <c r="G53" s="11"/>
      <c r="H53" s="11"/>
      <c r="I53" s="11"/>
      <c r="J53" s="11"/>
      <c r="K53" s="11"/>
      <c r="L53" s="11"/>
      <c r="M53" s="11"/>
      <c r="N53" s="11"/>
      <c r="O53" s="11"/>
      <c r="P53" s="11"/>
    </row>
    <row r="54" spans="1:16" ht="15" customHeight="1" x14ac:dyDescent="0.3">
      <c r="A54" s="12" t="s">
        <v>60</v>
      </c>
      <c r="B54" s="13">
        <v>2509.77</v>
      </c>
      <c r="C54" s="13">
        <v>2292.91</v>
      </c>
      <c r="D54" s="13">
        <v>2453.2199999999998</v>
      </c>
      <c r="E54" s="13">
        <v>2283.5300000000002</v>
      </c>
      <c r="F54" s="13">
        <v>1857.48</v>
      </c>
      <c r="G54" s="13">
        <v>1351.4</v>
      </c>
      <c r="H54" s="13">
        <v>1157.3599999999999</v>
      </c>
      <c r="I54" s="13">
        <v>876.97</v>
      </c>
      <c r="J54" s="13">
        <v>874.45</v>
      </c>
      <c r="K54" s="13">
        <v>654.16999999999996</v>
      </c>
      <c r="L54" s="13">
        <v>498.75</v>
      </c>
      <c r="M54" s="13">
        <v>432.36</v>
      </c>
      <c r="N54" s="13">
        <v>903.46</v>
      </c>
      <c r="O54" s="13">
        <v>728.66</v>
      </c>
      <c r="P54" s="13">
        <v>776.89</v>
      </c>
    </row>
    <row r="55" spans="1:16" ht="15" customHeight="1" x14ac:dyDescent="0.3">
      <c r="A55" s="12" t="s">
        <v>77</v>
      </c>
      <c r="B55" s="13">
        <v>427.59</v>
      </c>
      <c r="C55" s="13">
        <v>239.71</v>
      </c>
      <c r="D55" s="13">
        <v>435.85</v>
      </c>
      <c r="E55" s="13">
        <v>420.28</v>
      </c>
      <c r="F55" s="13">
        <v>322.83</v>
      </c>
      <c r="G55" s="13">
        <v>115.34</v>
      </c>
      <c r="H55" s="13">
        <v>171.69</v>
      </c>
      <c r="I55" s="15">
        <v>38.42</v>
      </c>
      <c r="J55" s="13">
        <v>129.26</v>
      </c>
      <c r="K55" s="15">
        <v>26.34</v>
      </c>
      <c r="L55" s="15">
        <v>32.369999999999997</v>
      </c>
      <c r="M55" s="15">
        <v>0.09</v>
      </c>
      <c r="N55" s="15">
        <v>89.54</v>
      </c>
      <c r="O55" s="23">
        <v>-1.77</v>
      </c>
      <c r="P55" s="15">
        <v>45.47</v>
      </c>
    </row>
    <row r="56" spans="1:16" ht="15" customHeight="1" x14ac:dyDescent="0.3">
      <c r="A56" s="12" t="s">
        <v>172</v>
      </c>
      <c r="B56" s="13">
        <v>582.82000000000005</v>
      </c>
      <c r="C56" s="13">
        <v>394.82</v>
      </c>
      <c r="D56" s="13">
        <v>596.29</v>
      </c>
      <c r="E56" s="13">
        <v>582.20000000000005</v>
      </c>
      <c r="F56" s="13">
        <v>429.98</v>
      </c>
      <c r="G56" s="13">
        <v>202.33</v>
      </c>
      <c r="H56" s="13">
        <v>235.68</v>
      </c>
      <c r="I56" s="15">
        <v>94.76</v>
      </c>
      <c r="J56" s="13">
        <v>187.84</v>
      </c>
      <c r="K56" s="15">
        <v>78.3</v>
      </c>
      <c r="L56" s="15">
        <v>64.55</v>
      </c>
      <c r="M56" s="15">
        <v>30.61</v>
      </c>
      <c r="N56" s="13">
        <v>138.87</v>
      </c>
      <c r="O56" s="15">
        <v>38.29</v>
      </c>
      <c r="P56" s="15">
        <v>90.37</v>
      </c>
    </row>
    <row r="57" spans="1:16" ht="15" customHeight="1" x14ac:dyDescent="0.3">
      <c r="A57" s="12" t="s">
        <v>110</v>
      </c>
      <c r="B57" s="13">
        <v>146.22</v>
      </c>
      <c r="C57" s="22">
        <v>-947.78</v>
      </c>
      <c r="D57" s="13">
        <v>195.9</v>
      </c>
      <c r="E57" s="13">
        <v>115.9</v>
      </c>
      <c r="F57" s="13">
        <v>153.56</v>
      </c>
      <c r="G57" s="23">
        <v>-1.91</v>
      </c>
      <c r="H57" s="15">
        <v>69.89</v>
      </c>
      <c r="I57" s="23">
        <v>-16.22</v>
      </c>
      <c r="J57" s="15">
        <v>59.92</v>
      </c>
      <c r="K57" s="23">
        <v>-73.87</v>
      </c>
      <c r="L57" s="15">
        <v>9.4600000000000009</v>
      </c>
      <c r="M57" s="23">
        <v>-10.09</v>
      </c>
      <c r="N57" s="15">
        <v>39.92</v>
      </c>
      <c r="O57" s="23">
        <v>-15.69</v>
      </c>
      <c r="P57" s="15">
        <v>28.87</v>
      </c>
    </row>
    <row r="58" spans="1:16" ht="15" customHeight="1" x14ac:dyDescent="0.3">
      <c r="A58" s="12" t="s">
        <v>155</v>
      </c>
      <c r="B58" s="15">
        <v>1.02</v>
      </c>
      <c r="C58" s="23">
        <v>-11.84</v>
      </c>
      <c r="D58" s="15">
        <v>1.62</v>
      </c>
      <c r="E58" s="15">
        <v>1.39</v>
      </c>
      <c r="F58" s="15">
        <v>1.83</v>
      </c>
      <c r="G58" s="23">
        <v>-0.02</v>
      </c>
      <c r="H58" s="15">
        <v>0.85</v>
      </c>
      <c r="I58" s="23">
        <v>-0.18</v>
      </c>
      <c r="J58" s="15">
        <v>0.71</v>
      </c>
      <c r="K58" s="23">
        <v>-0.95</v>
      </c>
      <c r="L58" s="15">
        <v>0.17</v>
      </c>
      <c r="M58" s="23">
        <v>-0.18</v>
      </c>
      <c r="N58" s="15">
        <v>0.73</v>
      </c>
      <c r="O58" s="23">
        <v>-0.27</v>
      </c>
      <c r="P58" s="15">
        <v>0.25</v>
      </c>
    </row>
    <row r="59" spans="1:16" s="34" customFormat="1" ht="15" customHeight="1" x14ac:dyDescent="0.3">
      <c r="A59" s="37" t="s">
        <v>326</v>
      </c>
      <c r="B59" s="33">
        <v>86.63</v>
      </c>
      <c r="C59" s="33">
        <v>84.78</v>
      </c>
      <c r="D59" s="33">
        <v>83.58</v>
      </c>
      <c r="E59" s="33">
        <v>82.58</v>
      </c>
      <c r="F59" s="33">
        <v>81.73</v>
      </c>
      <c r="G59" s="33">
        <v>80.959999999999994</v>
      </c>
      <c r="H59" s="33">
        <v>80.67</v>
      </c>
      <c r="I59" s="33">
        <v>81.63</v>
      </c>
      <c r="J59" s="33">
        <v>81.98</v>
      </c>
      <c r="K59" s="33">
        <v>83.82</v>
      </c>
      <c r="L59" s="33">
        <v>57</v>
      </c>
      <c r="M59" s="33">
        <v>56.03</v>
      </c>
      <c r="N59" s="33">
        <v>55.53</v>
      </c>
      <c r="O59" s="33">
        <v>54.29</v>
      </c>
      <c r="P59" s="33">
        <v>58.34</v>
      </c>
    </row>
    <row r="60" spans="1:16" ht="15" customHeight="1" x14ac:dyDescent="0.3">
      <c r="A60" s="10" t="s">
        <v>551</v>
      </c>
      <c r="B60" s="11"/>
      <c r="C60" s="11"/>
      <c r="D60" s="11"/>
      <c r="E60" s="11"/>
      <c r="F60" s="11"/>
      <c r="G60" s="11"/>
      <c r="H60" s="11"/>
      <c r="I60" s="11"/>
      <c r="J60" s="11"/>
      <c r="K60" s="11"/>
      <c r="L60" s="11"/>
      <c r="M60" s="11"/>
      <c r="N60" s="11"/>
      <c r="O60" s="11"/>
      <c r="P60" s="11"/>
    </row>
    <row r="61" spans="1:16" ht="15" customHeight="1" x14ac:dyDescent="0.3">
      <c r="A61" s="12" t="s">
        <v>552</v>
      </c>
      <c r="B61" s="28">
        <v>50.15</v>
      </c>
      <c r="C61" s="28">
        <v>54.39</v>
      </c>
      <c r="D61" s="28">
        <v>45.11</v>
      </c>
      <c r="E61" s="28">
        <v>47.28</v>
      </c>
      <c r="F61" s="28">
        <v>60.38</v>
      </c>
      <c r="G61" s="28">
        <v>53.76</v>
      </c>
      <c r="H61" s="28">
        <v>32.340000000000003</v>
      </c>
      <c r="I61" s="28">
        <v>32.56</v>
      </c>
      <c r="J61" s="28">
        <v>22.65</v>
      </c>
      <c r="K61" s="28">
        <v>23.75</v>
      </c>
      <c r="L61" s="28">
        <v>19.04</v>
      </c>
      <c r="M61" s="28">
        <v>20.7</v>
      </c>
      <c r="N61" s="28">
        <v>19.02</v>
      </c>
      <c r="O61" s="28">
        <v>21.84</v>
      </c>
      <c r="P61" s="28">
        <v>0</v>
      </c>
    </row>
    <row r="62" spans="1:16" ht="15" customHeight="1" x14ac:dyDescent="0.3">
      <c r="A62" s="12" t="s">
        <v>553</v>
      </c>
      <c r="B62" s="28">
        <v>66.42</v>
      </c>
      <c r="C62" s="28">
        <v>71.790000000000006</v>
      </c>
      <c r="D62" s="28">
        <v>57.65</v>
      </c>
      <c r="E62" s="28">
        <v>61.5</v>
      </c>
      <c r="F62" s="28">
        <v>71.61</v>
      </c>
      <c r="G62" s="28">
        <v>68.08</v>
      </c>
      <c r="H62" s="28">
        <v>42.65</v>
      </c>
      <c r="I62" s="28">
        <v>42.51</v>
      </c>
      <c r="J62" s="28">
        <v>29.36</v>
      </c>
      <c r="K62" s="28">
        <v>30.7</v>
      </c>
      <c r="L62" s="28">
        <v>27.41</v>
      </c>
      <c r="M62" s="28">
        <v>26.75</v>
      </c>
      <c r="N62" s="28">
        <v>26.64</v>
      </c>
      <c r="O62" s="28">
        <v>29.08</v>
      </c>
      <c r="P62" s="28">
        <v>0</v>
      </c>
    </row>
    <row r="63" spans="1:16" ht="15" customHeight="1" x14ac:dyDescent="0.3">
      <c r="A63" s="12" t="s">
        <v>554</v>
      </c>
      <c r="B63" s="28">
        <v>197.81</v>
      </c>
      <c r="C63" s="28">
        <v>254.51</v>
      </c>
      <c r="D63" s="28">
        <v>136.13999999999999</v>
      </c>
      <c r="E63" s="28">
        <v>159.76</v>
      </c>
      <c r="F63" s="28">
        <v>252.22</v>
      </c>
      <c r="G63" s="28">
        <v>213.27</v>
      </c>
      <c r="H63" s="28">
        <v>74.37</v>
      </c>
      <c r="I63" s="28">
        <v>73.95</v>
      </c>
      <c r="J63" s="28">
        <v>41.57</v>
      </c>
      <c r="K63" s="28">
        <v>44.3</v>
      </c>
      <c r="L63" s="28">
        <v>37.770000000000003</v>
      </c>
      <c r="M63" s="28">
        <v>36.51</v>
      </c>
      <c r="N63" s="28">
        <v>36.32</v>
      </c>
      <c r="O63" s="28">
        <v>41.01</v>
      </c>
      <c r="P63" s="28">
        <v>0</v>
      </c>
    </row>
    <row r="64" spans="1:16" ht="15" customHeight="1" x14ac:dyDescent="0.3">
      <c r="A64" s="12" t="s">
        <v>555</v>
      </c>
      <c r="B64" s="13">
        <v>225.96</v>
      </c>
      <c r="C64" s="13">
        <v>230.84</v>
      </c>
      <c r="D64" s="13">
        <v>179.96</v>
      </c>
      <c r="E64" s="19"/>
      <c r="F64" s="13">
        <v>103.61</v>
      </c>
      <c r="G64" s="15">
        <v>87.4</v>
      </c>
      <c r="H64" s="15">
        <v>40.51</v>
      </c>
      <c r="I64" s="15">
        <v>32.81</v>
      </c>
      <c r="J64" s="15">
        <v>24.65</v>
      </c>
      <c r="K64" s="15">
        <v>19.43</v>
      </c>
      <c r="L64" s="15">
        <v>10.49</v>
      </c>
      <c r="M64" s="15">
        <v>19.39</v>
      </c>
      <c r="N64" s="15">
        <v>28.15</v>
      </c>
      <c r="O64" s="15">
        <v>9.59</v>
      </c>
      <c r="P64" s="15">
        <v>3.67</v>
      </c>
    </row>
    <row r="65" spans="1:16" ht="15" customHeight="1" x14ac:dyDescent="0.3">
      <c r="A65" s="12" t="s">
        <v>556</v>
      </c>
      <c r="B65" s="28">
        <v>125.71</v>
      </c>
      <c r="C65" s="28">
        <v>538.99</v>
      </c>
      <c r="D65" s="28">
        <v>95.24</v>
      </c>
      <c r="E65" s="28">
        <v>181.1</v>
      </c>
      <c r="F65" s="28">
        <v>60.15</v>
      </c>
      <c r="G65" s="28">
        <v>314.83999999999997</v>
      </c>
      <c r="H65" s="28">
        <v>44.11</v>
      </c>
      <c r="I65" s="28">
        <v>211.24</v>
      </c>
      <c r="J65" s="28">
        <v>40.75</v>
      </c>
      <c r="K65" s="28"/>
      <c r="L65" s="28">
        <v>54.76</v>
      </c>
      <c r="M65" s="28"/>
      <c r="N65" s="28">
        <v>51.1</v>
      </c>
      <c r="O65" s="28">
        <v>158.91</v>
      </c>
      <c r="P65" s="28">
        <v>8.82</v>
      </c>
    </row>
    <row r="66" spans="1:16" ht="15" customHeight="1" x14ac:dyDescent="0.3">
      <c r="A66" s="12" t="s">
        <v>557</v>
      </c>
      <c r="B66" s="15">
        <v>2.0299999999999998</v>
      </c>
      <c r="C66" s="15">
        <v>1.1200000000000001</v>
      </c>
      <c r="D66" s="15">
        <v>2.7</v>
      </c>
      <c r="E66" s="15">
        <v>2.54</v>
      </c>
      <c r="F66" s="15">
        <v>3.47</v>
      </c>
      <c r="G66" s="15">
        <v>1.43</v>
      </c>
      <c r="H66" s="15">
        <v>4.75</v>
      </c>
      <c r="I66" s="15">
        <v>1.44</v>
      </c>
      <c r="J66" s="15">
        <v>7.17</v>
      </c>
      <c r="K66" s="15">
        <v>1.74</v>
      </c>
      <c r="L66" s="15">
        <v>3.81</v>
      </c>
      <c r="M66" s="15">
        <v>0.01</v>
      </c>
      <c r="N66" s="15">
        <v>7.31</v>
      </c>
      <c r="O66" s="23">
        <v>-1.08</v>
      </c>
      <c r="P66" s="15">
        <v>12.4</v>
      </c>
    </row>
    <row r="67" spans="1:16" ht="15" customHeight="1" x14ac:dyDescent="0.3">
      <c r="A67" s="12" t="s">
        <v>558</v>
      </c>
      <c r="B67" s="28"/>
      <c r="C67" s="28"/>
      <c r="D67" s="28"/>
      <c r="E67" s="28"/>
      <c r="F67" s="28">
        <v>904.15</v>
      </c>
      <c r="G67" s="30">
        <v>-11.68</v>
      </c>
      <c r="H67" s="28">
        <v>423.25</v>
      </c>
      <c r="I67" s="28"/>
      <c r="J67" s="28"/>
      <c r="K67" s="30">
        <v>-124.11</v>
      </c>
      <c r="L67" s="28"/>
      <c r="M67" s="28"/>
      <c r="N67" s="28"/>
      <c r="O67" s="28"/>
      <c r="P67" s="28"/>
    </row>
    <row r="68" spans="1:16" ht="15" customHeight="1" x14ac:dyDescent="0.3">
      <c r="A68" s="12" t="s">
        <v>559</v>
      </c>
      <c r="B68" s="15">
        <v>1</v>
      </c>
      <c r="C68" s="19"/>
      <c r="D68" s="15">
        <v>1</v>
      </c>
      <c r="E68" s="15">
        <v>1</v>
      </c>
      <c r="F68" s="15">
        <v>0.89</v>
      </c>
      <c r="G68" s="19"/>
      <c r="H68" s="15">
        <v>0.76</v>
      </c>
      <c r="I68" s="19"/>
      <c r="J68" s="15">
        <v>1</v>
      </c>
      <c r="K68" s="19"/>
      <c r="L68" s="15">
        <v>1</v>
      </c>
      <c r="M68" s="19"/>
      <c r="N68" s="15">
        <v>1</v>
      </c>
      <c r="O68" s="19"/>
      <c r="P68" s="15">
        <v>1</v>
      </c>
    </row>
    <row r="69" spans="1:16" ht="15" customHeight="1" x14ac:dyDescent="0.3">
      <c r="A69" s="12" t="s">
        <v>560</v>
      </c>
      <c r="B69" s="28">
        <v>0</v>
      </c>
      <c r="C69" s="28"/>
      <c r="D69" s="28">
        <v>0</v>
      </c>
      <c r="E69" s="28">
        <v>0</v>
      </c>
      <c r="F69" s="28">
        <v>11.06</v>
      </c>
      <c r="G69" s="28"/>
      <c r="H69" s="28">
        <v>23.63</v>
      </c>
      <c r="I69" s="28"/>
      <c r="J69" s="28">
        <v>0</v>
      </c>
      <c r="K69" s="28"/>
      <c r="L69" s="28">
        <v>0</v>
      </c>
      <c r="M69" s="28"/>
      <c r="N69" s="28">
        <v>0</v>
      </c>
      <c r="O69" s="28"/>
      <c r="P69" s="28">
        <v>0</v>
      </c>
    </row>
    <row r="70" spans="1:16" ht="15" customHeight="1" x14ac:dyDescent="0.3">
      <c r="A70" s="10" t="s">
        <v>561</v>
      </c>
      <c r="B70" s="11"/>
      <c r="C70" s="11"/>
      <c r="D70" s="11"/>
      <c r="E70" s="11"/>
      <c r="F70" s="11"/>
      <c r="G70" s="11"/>
      <c r="H70" s="11"/>
      <c r="I70" s="11"/>
      <c r="J70" s="11"/>
      <c r="K70" s="11"/>
      <c r="L70" s="11"/>
      <c r="M70" s="11"/>
      <c r="N70" s="11"/>
      <c r="O70" s="11"/>
      <c r="P70" s="11"/>
    </row>
    <row r="71" spans="1:16" ht="15" customHeight="1" x14ac:dyDescent="0.3">
      <c r="A71" s="12" t="s">
        <v>562</v>
      </c>
      <c r="B71" s="13">
        <v>190.86</v>
      </c>
      <c r="C71" s="13">
        <v>674.98</v>
      </c>
      <c r="D71" s="13">
        <v>1101.25</v>
      </c>
      <c r="E71" s="19"/>
      <c r="F71" s="13">
        <v>1247.6600000000001</v>
      </c>
      <c r="G71" s="13">
        <v>1271.17</v>
      </c>
      <c r="H71" s="13">
        <v>1268.98</v>
      </c>
      <c r="I71" s="13">
        <v>1280.0999999999999</v>
      </c>
      <c r="J71" s="13">
        <v>1602.42</v>
      </c>
      <c r="K71" s="13">
        <v>1593.53</v>
      </c>
      <c r="L71" s="13">
        <v>1081.6500000000001</v>
      </c>
      <c r="M71" s="13">
        <v>1033.82</v>
      </c>
      <c r="N71" s="13">
        <v>507.75</v>
      </c>
      <c r="O71" s="13">
        <v>374.6</v>
      </c>
      <c r="P71" s="13">
        <v>502.51</v>
      </c>
    </row>
    <row r="72" spans="1:16" ht="15" customHeight="1" x14ac:dyDescent="0.3">
      <c r="A72" s="12" t="s">
        <v>363</v>
      </c>
      <c r="B72" s="13">
        <v>2607.19</v>
      </c>
      <c r="C72" s="13">
        <v>2942.58</v>
      </c>
      <c r="D72" s="13">
        <v>2900.89</v>
      </c>
      <c r="E72" s="13">
        <v>3148.01</v>
      </c>
      <c r="F72" s="13">
        <v>2933.97</v>
      </c>
      <c r="G72" s="13">
        <v>1915.03</v>
      </c>
      <c r="H72" s="13">
        <v>688.76</v>
      </c>
      <c r="I72" s="13">
        <v>693.28</v>
      </c>
      <c r="J72" s="13">
        <v>393.19</v>
      </c>
      <c r="K72" s="13">
        <v>399.14</v>
      </c>
      <c r="L72" s="13">
        <v>196.37</v>
      </c>
      <c r="M72" s="13">
        <v>200</v>
      </c>
      <c r="N72" s="13">
        <v>196.1</v>
      </c>
      <c r="O72" s="13">
        <v>212</v>
      </c>
      <c r="P72" s="19">
        <v>0</v>
      </c>
    </row>
    <row r="73" spans="1:16" ht="15" customHeight="1" x14ac:dyDescent="0.3">
      <c r="A73" s="12" t="s">
        <v>306</v>
      </c>
      <c r="B73" s="13">
        <v>416.85</v>
      </c>
      <c r="C73" s="13">
        <v>414.55</v>
      </c>
      <c r="D73" s="13">
        <v>412.24</v>
      </c>
      <c r="E73" s="13">
        <v>409.94</v>
      </c>
      <c r="F73" s="19">
        <v>0</v>
      </c>
      <c r="G73" s="19">
        <v>0</v>
      </c>
      <c r="H73" s="19">
        <v>0</v>
      </c>
      <c r="I73" s="19">
        <v>0</v>
      </c>
      <c r="J73" s="19">
        <v>0</v>
      </c>
      <c r="K73" s="19"/>
      <c r="L73" s="19"/>
      <c r="M73" s="19"/>
      <c r="N73" s="19"/>
      <c r="O73" s="19"/>
      <c r="P73" s="19"/>
    </row>
    <row r="74" spans="1:16" ht="15" customHeight="1" x14ac:dyDescent="0.3">
      <c r="A74" s="12" t="s">
        <v>393</v>
      </c>
      <c r="B74" s="19"/>
      <c r="C74" s="19"/>
      <c r="D74" s="19"/>
      <c r="E74" s="19"/>
      <c r="F74" s="19"/>
      <c r="G74" s="19"/>
      <c r="H74" s="19">
        <v>0</v>
      </c>
      <c r="I74" s="15">
        <v>0.63</v>
      </c>
      <c r="J74" s="19">
        <v>0</v>
      </c>
      <c r="K74" s="19">
        <v>0</v>
      </c>
      <c r="L74" s="15">
        <v>1.66</v>
      </c>
      <c r="M74" s="15">
        <v>1.96</v>
      </c>
      <c r="N74" s="15">
        <v>2.21</v>
      </c>
      <c r="O74" s="15">
        <v>2.48</v>
      </c>
      <c r="P74" s="15">
        <v>2.63</v>
      </c>
    </row>
    <row r="75" spans="1:16" ht="15" customHeight="1" x14ac:dyDescent="0.3">
      <c r="A75" s="12" t="s">
        <v>397</v>
      </c>
      <c r="B75" s="15">
        <v>23.85</v>
      </c>
      <c r="C75" s="15">
        <v>35.32</v>
      </c>
      <c r="D75" s="15">
        <v>18.03</v>
      </c>
      <c r="E75" s="15">
        <v>66.22</v>
      </c>
      <c r="F75" s="13">
        <v>576.02</v>
      </c>
      <c r="G75" s="15">
        <v>32.97</v>
      </c>
      <c r="H75" s="13">
        <v>102.01</v>
      </c>
      <c r="I75" s="13">
        <v>148.69999999999999</v>
      </c>
      <c r="J75" s="13">
        <v>134.35</v>
      </c>
      <c r="K75" s="13">
        <v>108.06</v>
      </c>
      <c r="L75" s="13">
        <v>158.46</v>
      </c>
      <c r="M75" s="13">
        <v>221.26</v>
      </c>
      <c r="N75" s="13">
        <v>242.64</v>
      </c>
      <c r="O75" s="13">
        <v>127.89</v>
      </c>
      <c r="P75" s="13">
        <v>204.92</v>
      </c>
    </row>
    <row r="76" spans="1:16" ht="15" customHeight="1" x14ac:dyDescent="0.3">
      <c r="A76" s="12" t="s">
        <v>563</v>
      </c>
      <c r="B76" s="13">
        <v>3191.06</v>
      </c>
      <c r="C76" s="13">
        <v>3996.8</v>
      </c>
      <c r="D76" s="13">
        <v>4396.3599999999997</v>
      </c>
      <c r="E76" s="13">
        <v>5088.57</v>
      </c>
      <c r="F76" s="13">
        <v>3605.61</v>
      </c>
      <c r="G76" s="13">
        <v>3153.23</v>
      </c>
      <c r="H76" s="13">
        <v>1855.73</v>
      </c>
      <c r="I76" s="13">
        <v>1825.31</v>
      </c>
      <c r="J76" s="13">
        <v>1861.25</v>
      </c>
      <c r="K76" s="13">
        <v>1884.61</v>
      </c>
      <c r="L76" s="13">
        <v>1121.22</v>
      </c>
      <c r="M76" s="13">
        <v>1014.52</v>
      </c>
      <c r="N76" s="13">
        <v>463.42</v>
      </c>
      <c r="O76" s="13">
        <v>461.2</v>
      </c>
      <c r="P76" s="13">
        <v>300.20999999999998</v>
      </c>
    </row>
    <row r="77" spans="1:16" ht="15" customHeight="1" x14ac:dyDescent="0.3">
      <c r="A77" s="10" t="s">
        <v>564</v>
      </c>
      <c r="B77" s="11"/>
      <c r="C77" s="11"/>
      <c r="D77" s="11"/>
      <c r="E77" s="11"/>
      <c r="F77" s="11"/>
      <c r="G77" s="11"/>
      <c r="H77" s="11"/>
      <c r="I77" s="11"/>
      <c r="J77" s="11"/>
      <c r="K77" s="11"/>
      <c r="L77" s="11"/>
      <c r="M77" s="11"/>
      <c r="N77" s="11"/>
      <c r="O77" s="11"/>
      <c r="P77" s="11"/>
    </row>
    <row r="78" spans="1:16" ht="15" customHeight="1" x14ac:dyDescent="0.3">
      <c r="A78" s="12" t="s">
        <v>565</v>
      </c>
      <c r="B78" s="15">
        <v>0.47</v>
      </c>
      <c r="C78" s="15">
        <v>0.39</v>
      </c>
      <c r="D78" s="15">
        <v>0.37</v>
      </c>
      <c r="E78" s="19"/>
      <c r="F78" s="15">
        <v>0.44</v>
      </c>
      <c r="G78" s="15">
        <v>0.47</v>
      </c>
      <c r="H78" s="15">
        <v>0.54</v>
      </c>
      <c r="I78" s="15">
        <v>0.45</v>
      </c>
      <c r="J78" s="15">
        <v>0.51</v>
      </c>
      <c r="K78" s="15">
        <v>0.48</v>
      </c>
      <c r="L78" s="15">
        <v>0.5</v>
      </c>
      <c r="M78" s="15">
        <v>0.43</v>
      </c>
      <c r="N78" s="15">
        <v>0.9</v>
      </c>
      <c r="O78" s="15">
        <v>0.81</v>
      </c>
      <c r="P78" s="15">
        <v>0.96</v>
      </c>
    </row>
    <row r="79" spans="1:16" ht="15" customHeight="1" x14ac:dyDescent="0.3">
      <c r="A79" s="12" t="s">
        <v>544</v>
      </c>
      <c r="B79" s="28">
        <v>8.3699999999999992</v>
      </c>
      <c r="C79" s="30">
        <v>-42.2</v>
      </c>
      <c r="D79" s="28">
        <v>11.27</v>
      </c>
      <c r="E79" s="28">
        <v>8.19</v>
      </c>
      <c r="F79" s="28">
        <v>11.25</v>
      </c>
      <c r="G79" s="28">
        <v>7.0000000000000007E-2</v>
      </c>
      <c r="H79" s="28">
        <v>8.01</v>
      </c>
      <c r="I79" s="30">
        <v>-3.66</v>
      </c>
      <c r="J79" s="28">
        <v>10.66</v>
      </c>
      <c r="K79" s="30">
        <v>-17.079999999999998</v>
      </c>
      <c r="L79" s="28">
        <v>1.87</v>
      </c>
      <c r="M79" s="30">
        <v>-5.09</v>
      </c>
      <c r="N79" s="28">
        <v>6.3</v>
      </c>
      <c r="O79" s="30">
        <v>-3.53</v>
      </c>
      <c r="P79" s="28">
        <v>3.82</v>
      </c>
    </row>
    <row r="80" spans="1:16" ht="15" customHeight="1" x14ac:dyDescent="0.3">
      <c r="A80" s="12" t="s">
        <v>566</v>
      </c>
      <c r="B80" s="28">
        <v>3.96</v>
      </c>
      <c r="C80" s="30">
        <v>-16.34</v>
      </c>
      <c r="D80" s="28">
        <v>4.22</v>
      </c>
      <c r="E80" s="28">
        <v>3.25</v>
      </c>
      <c r="F80" s="28">
        <v>4.96</v>
      </c>
      <c r="G80" s="28">
        <v>0.04</v>
      </c>
      <c r="H80" s="28">
        <v>4.3499999999999996</v>
      </c>
      <c r="I80" s="30">
        <v>-1.66</v>
      </c>
      <c r="J80" s="28">
        <v>5.45</v>
      </c>
      <c r="K80" s="30">
        <v>-8.24</v>
      </c>
      <c r="L80" s="28">
        <v>0.94</v>
      </c>
      <c r="M80" s="30">
        <v>-2.2000000000000002</v>
      </c>
      <c r="N80" s="28">
        <v>5.69</v>
      </c>
      <c r="O80" s="30">
        <v>-2.86</v>
      </c>
      <c r="P80" s="28">
        <v>3.68</v>
      </c>
    </row>
    <row r="81" spans="1:16" ht="15" customHeight="1" x14ac:dyDescent="0.3">
      <c r="A81" s="12" t="s">
        <v>567</v>
      </c>
      <c r="B81" s="15">
        <v>4.29</v>
      </c>
      <c r="C81" s="15">
        <v>3.6</v>
      </c>
      <c r="D81" s="15">
        <v>3.19</v>
      </c>
      <c r="E81" s="19"/>
      <c r="F81" s="15">
        <v>4.09</v>
      </c>
      <c r="G81" s="15">
        <v>3.12</v>
      </c>
      <c r="H81" s="15">
        <v>2.29</v>
      </c>
      <c r="I81" s="15">
        <v>2.0499999999999998</v>
      </c>
      <c r="J81" s="15">
        <v>1.85</v>
      </c>
      <c r="K81" s="15">
        <v>1.91</v>
      </c>
      <c r="L81" s="15">
        <v>1.87</v>
      </c>
      <c r="M81" s="15">
        <v>1.84</v>
      </c>
      <c r="N81" s="15">
        <v>1.89</v>
      </c>
      <c r="O81" s="15">
        <v>1.62</v>
      </c>
      <c r="P81" s="15">
        <v>1.57</v>
      </c>
    </row>
    <row r="82" spans="1:16" ht="15" customHeight="1" x14ac:dyDescent="0.3">
      <c r="A82" s="12" t="s">
        <v>568</v>
      </c>
      <c r="B82" s="28">
        <v>16.97</v>
      </c>
      <c r="C82" s="30">
        <v>-58.87</v>
      </c>
      <c r="D82" s="28">
        <v>13.48</v>
      </c>
      <c r="E82" s="28">
        <v>11.94</v>
      </c>
      <c r="F82" s="28">
        <v>20.28</v>
      </c>
      <c r="G82" s="28">
        <v>0.11</v>
      </c>
      <c r="H82" s="28">
        <v>9.9499999999999993</v>
      </c>
      <c r="I82" s="30">
        <v>-3.41</v>
      </c>
      <c r="J82" s="28">
        <v>10.09</v>
      </c>
      <c r="K82" s="30">
        <v>-15.73</v>
      </c>
      <c r="L82" s="28">
        <v>1.75</v>
      </c>
      <c r="M82" s="30">
        <v>-4.04</v>
      </c>
      <c r="N82" s="28">
        <v>10.77</v>
      </c>
      <c r="O82" s="30">
        <v>-4.63</v>
      </c>
      <c r="P82" s="28">
        <v>5.8</v>
      </c>
    </row>
    <row r="83" spans="1:16" ht="15" customHeight="1" x14ac:dyDescent="0.3">
      <c r="A83" s="12" t="s">
        <v>569</v>
      </c>
      <c r="B83" s="15">
        <v>0.7</v>
      </c>
      <c r="C83" s="19"/>
      <c r="D83" s="15">
        <v>0.71</v>
      </c>
      <c r="E83" s="15">
        <v>0.62</v>
      </c>
      <c r="F83" s="15">
        <v>0.73</v>
      </c>
      <c r="G83" s="23">
        <v>-1.91</v>
      </c>
      <c r="H83" s="15">
        <v>0.75</v>
      </c>
      <c r="I83" s="19"/>
      <c r="J83" s="15">
        <v>0.64</v>
      </c>
      <c r="K83" s="19"/>
      <c r="L83" s="15">
        <v>1.01</v>
      </c>
      <c r="M83" s="19"/>
      <c r="N83" s="15">
        <v>0.7</v>
      </c>
      <c r="O83" s="19"/>
      <c r="P83" s="15">
        <v>0.97</v>
      </c>
    </row>
    <row r="84" spans="1:16" ht="15" customHeight="1" x14ac:dyDescent="0.3">
      <c r="A84" s="12" t="s">
        <v>547</v>
      </c>
      <c r="B84" s="28">
        <v>10.67</v>
      </c>
      <c r="C84" s="30">
        <v>-81.14</v>
      </c>
      <c r="D84" s="28">
        <v>8.66</v>
      </c>
      <c r="E84" s="28">
        <v>4.88</v>
      </c>
      <c r="F84" s="28">
        <v>14.54</v>
      </c>
      <c r="G84" s="30">
        <v>-0.21</v>
      </c>
      <c r="H84" s="28">
        <v>7.45</v>
      </c>
      <c r="I84" s="30">
        <v>-1.56</v>
      </c>
      <c r="J84" s="28">
        <v>6.4</v>
      </c>
      <c r="K84" s="30">
        <v>-10.41</v>
      </c>
      <c r="L84" s="28">
        <v>1.78</v>
      </c>
      <c r="M84" s="30">
        <v>-1.86</v>
      </c>
      <c r="N84" s="28">
        <v>7.64</v>
      </c>
      <c r="O84" s="30">
        <v>-2.82</v>
      </c>
      <c r="P84" s="28">
        <v>2.82</v>
      </c>
    </row>
    <row r="85" spans="1:16" ht="15" customHeight="1" x14ac:dyDescent="0.3">
      <c r="A85" s="12" t="s">
        <v>559</v>
      </c>
      <c r="B85" s="15">
        <v>1</v>
      </c>
      <c r="C85" s="19"/>
      <c r="D85" s="15">
        <v>1</v>
      </c>
      <c r="E85" s="15">
        <v>1</v>
      </c>
      <c r="F85" s="15">
        <v>0.89</v>
      </c>
      <c r="G85" s="19"/>
      <c r="H85" s="15">
        <v>0.76</v>
      </c>
      <c r="I85" s="19"/>
      <c r="J85" s="15">
        <v>1</v>
      </c>
      <c r="K85" s="19"/>
      <c r="L85" s="15">
        <v>1</v>
      </c>
      <c r="M85" s="19"/>
      <c r="N85" s="15">
        <v>1</v>
      </c>
      <c r="O85" s="19"/>
      <c r="P85" s="15">
        <v>1</v>
      </c>
    </row>
    <row r="86" spans="1:16" ht="15" customHeight="1" x14ac:dyDescent="0.3">
      <c r="A86" s="12" t="s">
        <v>570</v>
      </c>
      <c r="B86" s="28">
        <v>10.67</v>
      </c>
      <c r="C86" s="30">
        <v>-81.14</v>
      </c>
      <c r="D86" s="28">
        <v>8.66</v>
      </c>
      <c r="E86" s="28">
        <v>4.88</v>
      </c>
      <c r="F86" s="28">
        <v>12.93</v>
      </c>
      <c r="G86" s="30">
        <v>-2.0099999999999998</v>
      </c>
      <c r="H86" s="28">
        <v>5.69</v>
      </c>
      <c r="I86" s="30">
        <v>-1.56</v>
      </c>
      <c r="J86" s="28">
        <v>6.4</v>
      </c>
      <c r="K86" s="30">
        <v>-18.8</v>
      </c>
      <c r="L86" s="28">
        <v>1.78</v>
      </c>
      <c r="M86" s="30">
        <v>-1.86</v>
      </c>
      <c r="N86" s="28">
        <v>7.64</v>
      </c>
      <c r="O86" s="30">
        <v>-2.82</v>
      </c>
      <c r="P86" s="28">
        <v>2.82</v>
      </c>
    </row>
    <row r="87" spans="1:16" ht="15" customHeight="1" x14ac:dyDescent="0.3">
      <c r="A87" s="10" t="s">
        <v>571</v>
      </c>
      <c r="B87" s="11"/>
      <c r="C87" s="11"/>
      <c r="D87" s="11"/>
      <c r="E87" s="11"/>
      <c r="F87" s="11"/>
      <c r="G87" s="11"/>
      <c r="H87" s="11"/>
      <c r="I87" s="11"/>
      <c r="J87" s="11"/>
      <c r="K87" s="11"/>
      <c r="L87" s="11"/>
      <c r="M87" s="11"/>
      <c r="N87" s="11"/>
      <c r="O87" s="11"/>
      <c r="P87" s="11"/>
    </row>
    <row r="88" spans="1:16" ht="15" customHeight="1" x14ac:dyDescent="0.3">
      <c r="A88" s="12" t="s">
        <v>572</v>
      </c>
      <c r="B88" s="19">
        <v>28670.2</v>
      </c>
      <c r="C88" s="25">
        <v>-173905.32</v>
      </c>
      <c r="D88" s="19">
        <v>34672.92</v>
      </c>
      <c r="E88" s="19">
        <v>21072.55</v>
      </c>
      <c r="F88" s="19">
        <v>27179.47</v>
      </c>
      <c r="G88" s="22">
        <v>-388.43</v>
      </c>
      <c r="H88" s="19">
        <v>17363.73</v>
      </c>
      <c r="I88" s="22">
        <v>-3956.59</v>
      </c>
      <c r="J88" s="19">
        <v>15170.13</v>
      </c>
      <c r="K88" s="25">
        <v>-17179.53</v>
      </c>
      <c r="L88" s="13">
        <v>1970.21</v>
      </c>
      <c r="M88" s="22">
        <v>-2123.16</v>
      </c>
      <c r="N88" s="13">
        <v>8404.6299999999992</v>
      </c>
      <c r="O88" s="22">
        <v>-3337.66</v>
      </c>
      <c r="P88" s="19"/>
    </row>
    <row r="89" spans="1:16" ht="15" customHeight="1" x14ac:dyDescent="0.3">
      <c r="A89" s="12" t="s">
        <v>573</v>
      </c>
      <c r="B89" s="19">
        <v>492112.16</v>
      </c>
      <c r="C89" s="19">
        <v>420717.8</v>
      </c>
      <c r="D89" s="19">
        <v>434197.35</v>
      </c>
      <c r="E89" s="19">
        <v>415187.64</v>
      </c>
      <c r="F89" s="19">
        <v>328757.17</v>
      </c>
      <c r="G89" s="19">
        <v>274395.74</v>
      </c>
      <c r="H89" s="19">
        <v>287543.34999999998</v>
      </c>
      <c r="I89" s="19">
        <v>213895.61</v>
      </c>
      <c r="J89" s="19">
        <v>221380</v>
      </c>
      <c r="K89" s="19">
        <v>152133.72</v>
      </c>
      <c r="L89" s="19">
        <v>103906.67</v>
      </c>
      <c r="M89" s="19">
        <v>91022.53</v>
      </c>
      <c r="N89" s="19">
        <v>190201.68</v>
      </c>
      <c r="O89" s="19">
        <v>155034.04</v>
      </c>
      <c r="P89" s="19"/>
    </row>
    <row r="90" spans="1:16" ht="15" customHeight="1" x14ac:dyDescent="0.3">
      <c r="A90" s="12" t="s">
        <v>574</v>
      </c>
      <c r="B90" s="19">
        <v>1039715</v>
      </c>
      <c r="C90" s="19">
        <v>1040407.69</v>
      </c>
      <c r="D90" s="19">
        <v>1128246.49</v>
      </c>
      <c r="E90" s="19">
        <v>1188984.6399999999</v>
      </c>
      <c r="F90" s="19">
        <v>899886.3</v>
      </c>
      <c r="G90" s="19">
        <v>603704.57999999996</v>
      </c>
      <c r="H90" s="19">
        <v>539255.94999999995</v>
      </c>
      <c r="I90" s="19">
        <v>519401.95</v>
      </c>
      <c r="J90" s="19">
        <v>423391.71</v>
      </c>
      <c r="K90" s="19">
        <v>442331.58</v>
      </c>
      <c r="L90" s="19">
        <v>214813.33</v>
      </c>
      <c r="M90" s="19">
        <v>201277.08</v>
      </c>
      <c r="N90" s="19">
        <v>219312.34</v>
      </c>
      <c r="O90" s="19">
        <v>202193.33</v>
      </c>
      <c r="P90" s="19">
        <v>179900.43</v>
      </c>
    </row>
    <row r="91" spans="1:16" ht="15" customHeight="1" x14ac:dyDescent="0.3">
      <c r="A91" s="10" t="s">
        <v>575</v>
      </c>
      <c r="B91" s="11"/>
      <c r="C91" s="11"/>
      <c r="D91" s="11"/>
      <c r="E91" s="11"/>
      <c r="F91" s="11"/>
      <c r="G91" s="11"/>
      <c r="H91" s="11"/>
      <c r="I91" s="11"/>
      <c r="J91" s="11"/>
      <c r="K91" s="11"/>
      <c r="L91" s="11"/>
      <c r="M91" s="11"/>
      <c r="N91" s="11"/>
      <c r="O91" s="11"/>
      <c r="P91" s="11"/>
    </row>
    <row r="92" spans="1:16" ht="15" customHeight="1" x14ac:dyDescent="0.3">
      <c r="A92" s="12" t="s">
        <v>576</v>
      </c>
      <c r="B92" s="15">
        <v>1.31</v>
      </c>
      <c r="C92" s="15">
        <v>1.41</v>
      </c>
      <c r="D92" s="15">
        <v>1.33</v>
      </c>
      <c r="E92" s="15">
        <v>1.37</v>
      </c>
      <c r="F92" s="15">
        <v>5.84</v>
      </c>
      <c r="G92" s="15">
        <v>2.06</v>
      </c>
      <c r="H92" s="15">
        <v>2.38</v>
      </c>
      <c r="I92" s="15">
        <v>2.87</v>
      </c>
      <c r="J92" s="15">
        <v>3.32</v>
      </c>
      <c r="K92" s="15">
        <v>2.5299999999999998</v>
      </c>
      <c r="L92" s="15">
        <v>2.35</v>
      </c>
      <c r="M92" s="15">
        <v>3.55</v>
      </c>
      <c r="N92" s="15">
        <v>2.76</v>
      </c>
      <c r="O92" s="15">
        <v>2.6</v>
      </c>
      <c r="P92" s="15">
        <v>2.62</v>
      </c>
    </row>
    <row r="93" spans="1:16" ht="15" customHeight="1" x14ac:dyDescent="0.3">
      <c r="A93" s="12" t="s">
        <v>577</v>
      </c>
      <c r="B93" s="19"/>
      <c r="C93" s="19"/>
      <c r="D93" s="19"/>
      <c r="E93" s="19"/>
      <c r="F93" s="19"/>
      <c r="G93" s="19"/>
      <c r="H93" s="19"/>
      <c r="I93" s="19"/>
      <c r="J93" s="19"/>
      <c r="K93" s="19"/>
      <c r="L93" s="19"/>
      <c r="M93" s="15">
        <v>3.5</v>
      </c>
      <c r="N93" s="15">
        <v>2.71</v>
      </c>
      <c r="O93" s="15">
        <v>2.5499999999999998</v>
      </c>
      <c r="P93" s="15">
        <v>2.56</v>
      </c>
    </row>
    <row r="94" spans="1:16" ht="15" customHeight="1" x14ac:dyDescent="0.3">
      <c r="A94" s="12" t="s">
        <v>578</v>
      </c>
      <c r="B94" s="15">
        <v>0.03</v>
      </c>
      <c r="C94" s="15">
        <v>0.04</v>
      </c>
      <c r="D94" s="15">
        <v>0.02</v>
      </c>
      <c r="E94" s="15">
        <v>0.03</v>
      </c>
      <c r="F94" s="15">
        <v>0.36</v>
      </c>
      <c r="G94" s="15">
        <v>0.09</v>
      </c>
      <c r="H94" s="15">
        <v>0.13</v>
      </c>
      <c r="I94" s="15">
        <v>0.19</v>
      </c>
      <c r="J94" s="15">
        <v>0.14000000000000001</v>
      </c>
      <c r="K94" s="15">
        <v>0.11</v>
      </c>
      <c r="L94" s="15">
        <v>0.18</v>
      </c>
      <c r="M94" s="15">
        <v>0.3</v>
      </c>
      <c r="N94" s="15">
        <v>0.25</v>
      </c>
      <c r="O94" s="15">
        <v>0.21</v>
      </c>
      <c r="P94" s="15">
        <v>0.27</v>
      </c>
    </row>
    <row r="95" spans="1:16" ht="15" customHeight="1" x14ac:dyDescent="0.3">
      <c r="A95" s="10" t="s">
        <v>579</v>
      </c>
      <c r="B95" s="11"/>
      <c r="C95" s="11"/>
      <c r="D95" s="11"/>
      <c r="E95" s="11"/>
      <c r="F95" s="11"/>
      <c r="G95" s="11"/>
      <c r="H95" s="11"/>
      <c r="I95" s="11"/>
      <c r="J95" s="11"/>
      <c r="K95" s="11"/>
      <c r="L95" s="11"/>
      <c r="M95" s="11"/>
      <c r="N95" s="11"/>
      <c r="O95" s="11"/>
      <c r="P95" s="11"/>
    </row>
    <row r="96" spans="1:16" ht="15" customHeight="1" x14ac:dyDescent="0.3">
      <c r="A96" s="12" t="s">
        <v>580</v>
      </c>
      <c r="B96" s="15">
        <v>4.26</v>
      </c>
      <c r="C96" s="15">
        <v>3.79</v>
      </c>
      <c r="D96" s="15">
        <v>4.18</v>
      </c>
      <c r="E96" s="15">
        <v>4.5</v>
      </c>
      <c r="F96" s="15">
        <v>4.33</v>
      </c>
      <c r="G96" s="15">
        <v>3.76</v>
      </c>
      <c r="H96" s="15">
        <v>4.24</v>
      </c>
      <c r="I96" s="15">
        <v>4.1399999999999997</v>
      </c>
      <c r="J96" s="15">
        <v>4.93</v>
      </c>
      <c r="K96" s="15">
        <v>4.74</v>
      </c>
      <c r="L96" s="15">
        <v>4.16</v>
      </c>
      <c r="M96" s="15">
        <v>3.22</v>
      </c>
      <c r="N96" s="15">
        <v>6.15</v>
      </c>
      <c r="O96" s="15">
        <v>4.93</v>
      </c>
      <c r="P96" s="15">
        <v>5.05</v>
      </c>
    </row>
    <row r="97" spans="1:16" ht="15" customHeight="1" x14ac:dyDescent="0.3">
      <c r="A97" s="12" t="s">
        <v>581</v>
      </c>
      <c r="B97" s="15">
        <v>85.95</v>
      </c>
      <c r="C97" s="15">
        <v>96.62</v>
      </c>
      <c r="D97" s="15">
        <v>87.53</v>
      </c>
      <c r="E97" s="15">
        <v>81.319999999999993</v>
      </c>
      <c r="F97" s="15">
        <v>84.62</v>
      </c>
      <c r="G97" s="15">
        <v>97.24</v>
      </c>
      <c r="H97" s="15">
        <v>86.32</v>
      </c>
      <c r="I97" s="15">
        <v>88.46</v>
      </c>
      <c r="J97" s="15">
        <v>74.31</v>
      </c>
      <c r="K97" s="15">
        <v>77.25</v>
      </c>
      <c r="L97" s="15">
        <v>87.97</v>
      </c>
      <c r="M97" s="13">
        <v>113.73</v>
      </c>
      <c r="N97" s="15">
        <v>59.53</v>
      </c>
      <c r="O97" s="15">
        <v>74.209999999999994</v>
      </c>
      <c r="P97" s="15">
        <v>72.540000000000006</v>
      </c>
    </row>
    <row r="98" spans="1:16" ht="15" customHeight="1" x14ac:dyDescent="0.3">
      <c r="A98" s="12" t="s">
        <v>582</v>
      </c>
      <c r="B98" s="15">
        <v>16.670000000000002</v>
      </c>
      <c r="C98" s="15">
        <v>18.079999999999998</v>
      </c>
      <c r="D98" s="15">
        <v>16.73</v>
      </c>
      <c r="E98" s="15">
        <v>16.68</v>
      </c>
      <c r="F98" s="15">
        <v>13.21</v>
      </c>
      <c r="G98" s="15">
        <v>17.440000000000001</v>
      </c>
      <c r="H98" s="15">
        <v>14.84</v>
      </c>
      <c r="I98" s="15">
        <v>14.38</v>
      </c>
      <c r="J98" s="15">
        <v>9.58</v>
      </c>
      <c r="K98" s="15">
        <v>7.1</v>
      </c>
      <c r="L98" s="15">
        <v>5.75</v>
      </c>
      <c r="M98" s="15">
        <v>4.2300000000000004</v>
      </c>
      <c r="N98" s="15">
        <v>10.130000000000001</v>
      </c>
      <c r="O98" s="15">
        <v>7.73</v>
      </c>
      <c r="P98" s="15">
        <v>6.76</v>
      </c>
    </row>
    <row r="99" spans="1:16" ht="15" customHeight="1" x14ac:dyDescent="0.3">
      <c r="A99" s="12" t="s">
        <v>583</v>
      </c>
      <c r="B99" s="15">
        <v>21.95</v>
      </c>
      <c r="C99" s="15">
        <v>20.239999999999998</v>
      </c>
      <c r="D99" s="15">
        <v>21.87</v>
      </c>
      <c r="E99" s="15">
        <v>21.94</v>
      </c>
      <c r="F99" s="15">
        <v>27.71</v>
      </c>
      <c r="G99" s="15">
        <v>20.99</v>
      </c>
      <c r="H99" s="15">
        <v>24.66</v>
      </c>
      <c r="I99" s="15">
        <v>25.45</v>
      </c>
      <c r="J99" s="15">
        <v>38.22</v>
      </c>
      <c r="K99" s="15">
        <v>51.52</v>
      </c>
      <c r="L99" s="15">
        <v>63.7</v>
      </c>
      <c r="M99" s="15">
        <v>86.48</v>
      </c>
      <c r="N99" s="15">
        <v>36.14</v>
      </c>
      <c r="O99" s="15">
        <v>47.36</v>
      </c>
      <c r="P99" s="15">
        <v>54.16</v>
      </c>
    </row>
    <row r="100" spans="1:16" ht="15" customHeight="1" x14ac:dyDescent="0.3">
      <c r="A100" s="12" t="s">
        <v>584</v>
      </c>
      <c r="B100" s="19"/>
      <c r="C100" s="19"/>
      <c r="D100" s="19"/>
      <c r="E100" s="19"/>
      <c r="F100" s="19"/>
      <c r="G100" s="19"/>
      <c r="H100" s="19"/>
      <c r="I100" s="19"/>
      <c r="J100" s="19"/>
      <c r="K100" s="19"/>
      <c r="L100" s="19"/>
      <c r="M100" s="15">
        <v>13</v>
      </c>
      <c r="N100" s="15">
        <v>31.43</v>
      </c>
      <c r="O100" s="15">
        <v>27.33</v>
      </c>
      <c r="P100" s="15">
        <v>26.97</v>
      </c>
    </row>
    <row r="101" spans="1:16" ht="15" customHeight="1" x14ac:dyDescent="0.3">
      <c r="A101" s="12" t="s">
        <v>585</v>
      </c>
      <c r="B101" s="19"/>
      <c r="C101" s="19"/>
      <c r="D101" s="19"/>
      <c r="E101" s="19"/>
      <c r="F101" s="19"/>
      <c r="G101" s="19"/>
      <c r="H101" s="19"/>
      <c r="I101" s="19"/>
      <c r="J101" s="19"/>
      <c r="K101" s="19"/>
      <c r="L101" s="19"/>
      <c r="M101" s="15">
        <v>28.16</v>
      </c>
      <c r="N101" s="15">
        <v>11.64</v>
      </c>
      <c r="O101" s="15">
        <v>13.39</v>
      </c>
      <c r="P101" s="15">
        <v>13.57</v>
      </c>
    </row>
    <row r="102" spans="1:16" ht="15" customHeight="1" x14ac:dyDescent="0.3">
      <c r="A102" s="12" t="s">
        <v>586</v>
      </c>
      <c r="B102" s="15">
        <v>64</v>
      </c>
      <c r="C102" s="15">
        <v>76.38</v>
      </c>
      <c r="D102" s="15">
        <v>65.66</v>
      </c>
      <c r="E102" s="15">
        <v>59.37</v>
      </c>
      <c r="F102" s="15">
        <v>56.91</v>
      </c>
      <c r="G102" s="15">
        <v>76.25</v>
      </c>
      <c r="H102" s="15">
        <v>61.67</v>
      </c>
      <c r="I102" s="15">
        <v>63.01</v>
      </c>
      <c r="J102" s="15">
        <v>36.08</v>
      </c>
      <c r="K102" s="15">
        <v>25.73</v>
      </c>
      <c r="L102" s="15">
        <v>24.27</v>
      </c>
      <c r="M102" s="15">
        <v>55.42</v>
      </c>
      <c r="N102" s="15">
        <v>35.04</v>
      </c>
      <c r="O102" s="15">
        <v>40.24</v>
      </c>
      <c r="P102" s="15">
        <v>31.95</v>
      </c>
    </row>
  </sheetData>
  <mergeCells count="75">
    <mergeCell ref="B11"/>
    <mergeCell ref="C11"/>
    <mergeCell ref="D11"/>
    <mergeCell ref="E11"/>
    <mergeCell ref="F11"/>
    <mergeCell ref="G11"/>
    <mergeCell ref="H11"/>
    <mergeCell ref="I11"/>
    <mergeCell ref="J11"/>
    <mergeCell ref="K11"/>
    <mergeCell ref="L11"/>
    <mergeCell ref="M11"/>
    <mergeCell ref="N11"/>
    <mergeCell ref="O11"/>
    <mergeCell ref="P11"/>
    <mergeCell ref="B12"/>
    <mergeCell ref="B13"/>
    <mergeCell ref="B14"/>
    <mergeCell ref="B15"/>
    <mergeCell ref="C12"/>
    <mergeCell ref="C13"/>
    <mergeCell ref="C14"/>
    <mergeCell ref="C15"/>
    <mergeCell ref="D12"/>
    <mergeCell ref="D13"/>
    <mergeCell ref="D14"/>
    <mergeCell ref="D15"/>
    <mergeCell ref="E12"/>
    <mergeCell ref="E13"/>
    <mergeCell ref="E14"/>
    <mergeCell ref="E15"/>
    <mergeCell ref="F12"/>
    <mergeCell ref="F13"/>
    <mergeCell ref="F14"/>
    <mergeCell ref="F15"/>
    <mergeCell ref="G12"/>
    <mergeCell ref="G13"/>
    <mergeCell ref="G14"/>
    <mergeCell ref="G15"/>
    <mergeCell ref="H12"/>
    <mergeCell ref="H13"/>
    <mergeCell ref="H14"/>
    <mergeCell ref="H15"/>
    <mergeCell ref="I12"/>
    <mergeCell ref="I13"/>
    <mergeCell ref="I14"/>
    <mergeCell ref="I15"/>
    <mergeCell ref="J12"/>
    <mergeCell ref="J13"/>
    <mergeCell ref="J14"/>
    <mergeCell ref="J15"/>
    <mergeCell ref="K12"/>
    <mergeCell ref="K13"/>
    <mergeCell ref="K14"/>
    <mergeCell ref="K15"/>
    <mergeCell ref="L12"/>
    <mergeCell ref="L13"/>
    <mergeCell ref="L14"/>
    <mergeCell ref="L15"/>
    <mergeCell ref="M12"/>
    <mergeCell ref="M13"/>
    <mergeCell ref="M14"/>
    <mergeCell ref="M15"/>
    <mergeCell ref="P12"/>
    <mergeCell ref="P13"/>
    <mergeCell ref="P14"/>
    <mergeCell ref="P15"/>
    <mergeCell ref="N12"/>
    <mergeCell ref="N13"/>
    <mergeCell ref="N14"/>
    <mergeCell ref="N15"/>
    <mergeCell ref="O12"/>
    <mergeCell ref="O13"/>
    <mergeCell ref="O14"/>
    <mergeCell ref="O15"/>
  </mergeCells>
  <pageMargins left="0.5" right="0.5" top="1" bottom="1" header="0.5" footer="0.75"/>
  <pageSetup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AFDBB-145A-4D87-AFC7-22373722D420}">
  <dimension ref="A1:O89"/>
  <sheetViews>
    <sheetView tabSelected="1" topLeftCell="A64" zoomScale="102" workbookViewId="0">
      <selection activeCell="F82" sqref="F82"/>
    </sheetView>
  </sheetViews>
  <sheetFormatPr defaultRowHeight="13.8" x14ac:dyDescent="0.25"/>
  <cols>
    <col min="1" max="1" width="29.5546875" style="41" bestFit="1" customWidth="1"/>
    <col min="2" max="2" width="15.77734375" style="41" bestFit="1" customWidth="1"/>
    <col min="3" max="3" width="11.6640625" style="41" bestFit="1" customWidth="1"/>
    <col min="4" max="4" width="8.88671875" style="41"/>
    <col min="5" max="5" width="11.6640625" style="41" bestFit="1" customWidth="1"/>
    <col min="6" max="12" width="8.88671875" style="41"/>
    <col min="13" max="13" width="9.88671875" style="41" bestFit="1" customWidth="1"/>
    <col min="14" max="14" width="15.77734375" style="41" bestFit="1" customWidth="1"/>
    <col min="15" max="15" width="19.88671875" style="41" bestFit="1" customWidth="1"/>
    <col min="16" max="16384" width="8.88671875" style="41"/>
  </cols>
  <sheetData>
    <row r="1" spans="1:13" x14ac:dyDescent="0.25">
      <c r="A1" s="42" t="s">
        <v>588</v>
      </c>
      <c r="B1" s="42">
        <v>2014</v>
      </c>
      <c r="C1" s="42">
        <v>2015</v>
      </c>
      <c r="D1" s="42">
        <v>2016</v>
      </c>
      <c r="E1" s="42">
        <v>2017</v>
      </c>
    </row>
    <row r="2" spans="1:13" x14ac:dyDescent="0.25">
      <c r="A2" s="42" t="s">
        <v>589</v>
      </c>
      <c r="B2" s="41">
        <f>'Income Statement'!L23</f>
        <v>498.75</v>
      </c>
      <c r="C2" s="41">
        <f>'Income Statement'!K23</f>
        <v>654.16999999999996</v>
      </c>
      <c r="D2" s="41">
        <f>'Income Statement'!J23</f>
        <v>874.45</v>
      </c>
      <c r="E2" s="41">
        <f>'Income Statement'!I23</f>
        <v>876.97</v>
      </c>
    </row>
    <row r="3" spans="1:13" ht="14.4" customHeight="1" x14ac:dyDescent="0.25">
      <c r="A3" s="42" t="s">
        <v>587</v>
      </c>
      <c r="B3" s="43">
        <f>(E2/B2)^(1/3)-1</f>
        <v>0.20698148866908372</v>
      </c>
    </row>
    <row r="4" spans="1:13" x14ac:dyDescent="0.25">
      <c r="A4" s="42" t="s">
        <v>599</v>
      </c>
      <c r="B4" s="45">
        <v>0.08</v>
      </c>
      <c r="F4" s="47" t="s">
        <v>638</v>
      </c>
    </row>
    <row r="5" spans="1:13" x14ac:dyDescent="0.25">
      <c r="A5" s="42" t="s">
        <v>615</v>
      </c>
      <c r="B5" s="74">
        <f>B89</f>
        <v>6.4350633464806059E-2</v>
      </c>
      <c r="F5" s="53" t="s">
        <v>617</v>
      </c>
    </row>
    <row r="6" spans="1:13" x14ac:dyDescent="0.25">
      <c r="A6" s="42" t="s">
        <v>616</v>
      </c>
      <c r="B6" s="56">
        <v>2.5000000000000001E-2</v>
      </c>
      <c r="F6" s="58" t="s">
        <v>618</v>
      </c>
    </row>
    <row r="7" spans="1:13" x14ac:dyDescent="0.25">
      <c r="A7" s="42" t="s">
        <v>640</v>
      </c>
      <c r="B7" s="56">
        <v>4.2500000000000003E-2</v>
      </c>
      <c r="F7" s="41" t="s">
        <v>650</v>
      </c>
    </row>
    <row r="8" spans="1:13" x14ac:dyDescent="0.25">
      <c r="A8" s="42" t="s">
        <v>641</v>
      </c>
      <c r="B8" s="56">
        <v>5.5E-2</v>
      </c>
      <c r="F8" s="58" t="s">
        <v>649</v>
      </c>
    </row>
    <row r="9" spans="1:13" x14ac:dyDescent="0.25">
      <c r="A9" s="42" t="s">
        <v>642</v>
      </c>
      <c r="B9" s="71">
        <v>0.74</v>
      </c>
      <c r="F9" s="53" t="s">
        <v>651</v>
      </c>
    </row>
    <row r="10" spans="1:13" x14ac:dyDescent="0.25">
      <c r="A10" s="42" t="s">
        <v>644</v>
      </c>
      <c r="B10" s="56">
        <f>'Income Statement'!I177/Analysis!B51</f>
        <v>3.8512577890606969E-2</v>
      </c>
      <c r="F10" s="75"/>
    </row>
    <row r="11" spans="1:13" x14ac:dyDescent="0.25">
      <c r="A11" s="42" t="s">
        <v>645</v>
      </c>
      <c r="B11" s="45">
        <v>0.25</v>
      </c>
      <c r="F11" s="75"/>
    </row>
    <row r="12" spans="1:13" x14ac:dyDescent="0.25">
      <c r="A12" s="42"/>
      <c r="B12" s="56"/>
      <c r="F12" s="75"/>
    </row>
    <row r="14" spans="1:13" x14ac:dyDescent="0.25">
      <c r="A14" s="41" t="s">
        <v>590</v>
      </c>
    </row>
    <row r="16" spans="1:13" x14ac:dyDescent="0.25">
      <c r="A16" s="41" t="s">
        <v>588</v>
      </c>
      <c r="B16" s="69">
        <v>2014</v>
      </c>
      <c r="C16" s="69">
        <v>2015</v>
      </c>
      <c r="D16" s="69">
        <v>2016</v>
      </c>
      <c r="E16" s="69">
        <v>2017</v>
      </c>
      <c r="F16" s="70" t="s">
        <v>591</v>
      </c>
      <c r="G16" s="70" t="s">
        <v>592</v>
      </c>
      <c r="H16" s="70" t="s">
        <v>593</v>
      </c>
      <c r="I16" s="70" t="s">
        <v>594</v>
      </c>
      <c r="J16" s="70" t="s">
        <v>595</v>
      </c>
      <c r="K16" s="70" t="s">
        <v>596</v>
      </c>
      <c r="L16" s="70" t="s">
        <v>597</v>
      </c>
      <c r="M16" s="70" t="s">
        <v>598</v>
      </c>
    </row>
    <row r="17" spans="1:13" x14ac:dyDescent="0.25">
      <c r="A17" s="41" t="s">
        <v>589</v>
      </c>
      <c r="B17" s="41">
        <f>B2</f>
        <v>498.75</v>
      </c>
      <c r="C17" s="41">
        <f>C2</f>
        <v>654.16999999999996</v>
      </c>
      <c r="D17" s="41">
        <f>D2</f>
        <v>874.45</v>
      </c>
      <c r="E17" s="41">
        <f>E2</f>
        <v>876.97</v>
      </c>
      <c r="F17" s="41">
        <f>E17*(1+$B$4)</f>
        <v>947.12760000000014</v>
      </c>
      <c r="G17" s="41">
        <f t="shared" ref="G17:M17" si="0">F17*(1+$B$4)</f>
        <v>1022.8978080000002</v>
      </c>
      <c r="H17" s="41">
        <f t="shared" si="0"/>
        <v>1104.7296326400003</v>
      </c>
      <c r="I17" s="41">
        <f t="shared" si="0"/>
        <v>1193.1080032512004</v>
      </c>
      <c r="J17" s="41">
        <f t="shared" si="0"/>
        <v>1288.5566435112967</v>
      </c>
      <c r="K17" s="41">
        <f t="shared" si="0"/>
        <v>1391.6411749922006</v>
      </c>
      <c r="L17" s="41">
        <f t="shared" si="0"/>
        <v>1502.9724689915768</v>
      </c>
      <c r="M17" s="41">
        <f t="shared" si="0"/>
        <v>1623.210266510903</v>
      </c>
    </row>
    <row r="18" spans="1:13" x14ac:dyDescent="0.25">
      <c r="A18" s="41" t="str">
        <f>A3</f>
        <v>CAGR(2014-2017)</v>
      </c>
      <c r="E18" s="44">
        <f>B3</f>
        <v>0.20698148866908372</v>
      </c>
    </row>
    <row r="19" spans="1:13" x14ac:dyDescent="0.25">
      <c r="A19" s="50" t="str">
        <f>A4</f>
        <v>Assumed Growth Rate</v>
      </c>
      <c r="E19" s="49">
        <f>B4</f>
        <v>0.08</v>
      </c>
    </row>
    <row r="20" spans="1:13" x14ac:dyDescent="0.25">
      <c r="A20" s="53"/>
      <c r="E20" s="44"/>
    </row>
    <row r="21" spans="1:13" x14ac:dyDescent="0.25">
      <c r="A21" s="41" t="s">
        <v>601</v>
      </c>
      <c r="B21" s="46">
        <f>'Income Statement'!L26</f>
        <v>87.67</v>
      </c>
      <c r="C21" s="41">
        <f>'Income Statement'!K26</f>
        <v>161.96</v>
      </c>
      <c r="D21" s="41">
        <f>'Income Statement'!J26</f>
        <v>227.82</v>
      </c>
      <c r="E21" s="41">
        <f>'Income Statement'!I26</f>
        <v>284.95</v>
      </c>
      <c r="F21" s="41">
        <f>E17*$E$22</f>
        <v>284.95</v>
      </c>
      <c r="G21" s="41">
        <f t="shared" ref="G21:M21" si="1">F17*$E$22</f>
        <v>307.74600000000004</v>
      </c>
      <c r="H21" s="41">
        <f t="shared" si="1"/>
        <v>332.36568</v>
      </c>
      <c r="I21" s="41">
        <f t="shared" si="1"/>
        <v>358.95493440000007</v>
      </c>
      <c r="J21" s="41">
        <f t="shared" si="1"/>
        <v>387.67132915200011</v>
      </c>
      <c r="K21" s="41">
        <f t="shared" si="1"/>
        <v>418.68503548416015</v>
      </c>
      <c r="L21" s="41">
        <f t="shared" si="1"/>
        <v>452.17983832289303</v>
      </c>
      <c r="M21" s="41">
        <f t="shared" si="1"/>
        <v>488.35422538872456</v>
      </c>
    </row>
    <row r="22" spans="1:13" x14ac:dyDescent="0.25">
      <c r="A22" s="50" t="s">
        <v>603</v>
      </c>
      <c r="B22" s="46"/>
      <c r="E22" s="52">
        <f>E21/E17</f>
        <v>0.32492559608652516</v>
      </c>
      <c r="F22" s="48"/>
    </row>
    <row r="23" spans="1:13" x14ac:dyDescent="0.25">
      <c r="A23" s="53"/>
      <c r="B23" s="46"/>
      <c r="E23" s="51"/>
      <c r="F23" s="48"/>
    </row>
    <row r="24" spans="1:13" x14ac:dyDescent="0.25">
      <c r="A24" s="41" t="s">
        <v>602</v>
      </c>
      <c r="B24" s="46">
        <f>'Income Statement'!L36</f>
        <v>82.69</v>
      </c>
      <c r="C24" s="41">
        <f>'Income Statement'!K36</f>
        <v>149.44999999999999</v>
      </c>
      <c r="D24" s="41">
        <f>'Income Statement'!J36</f>
        <v>173.8</v>
      </c>
      <c r="E24" s="41">
        <f>'Income Statement'!I36</f>
        <v>185.87</v>
      </c>
      <c r="F24" s="41">
        <f>E17*$E$25</f>
        <v>185.87</v>
      </c>
      <c r="G24" s="41">
        <f t="shared" ref="G24:M24" si="2">F17*$E$25</f>
        <v>200.73960000000002</v>
      </c>
      <c r="H24" s="41">
        <f t="shared" si="2"/>
        <v>216.79876800000002</v>
      </c>
      <c r="I24" s="41">
        <f t="shared" si="2"/>
        <v>234.14266944000005</v>
      </c>
      <c r="J24" s="41">
        <f t="shared" si="2"/>
        <v>252.8740829952001</v>
      </c>
      <c r="K24" s="41">
        <f t="shared" si="2"/>
        <v>273.10400963481612</v>
      </c>
      <c r="L24" s="41">
        <f t="shared" si="2"/>
        <v>294.95233040560146</v>
      </c>
      <c r="M24" s="41">
        <f t="shared" si="2"/>
        <v>318.54851683804964</v>
      </c>
    </row>
    <row r="25" spans="1:13" x14ac:dyDescent="0.25">
      <c r="A25" s="50" t="s">
        <v>604</v>
      </c>
      <c r="B25" s="46"/>
      <c r="E25" s="52">
        <f>E24/E17</f>
        <v>0.21194567659098942</v>
      </c>
    </row>
    <row r="26" spans="1:13" x14ac:dyDescent="0.25">
      <c r="A26" s="53"/>
      <c r="B26" s="46"/>
      <c r="E26" s="51"/>
    </row>
    <row r="27" spans="1:13" x14ac:dyDescent="0.25">
      <c r="A27" s="41" t="s">
        <v>600</v>
      </c>
      <c r="F27" s="41">
        <f>F17-F21-F24</f>
        <v>476.30760000000021</v>
      </c>
      <c r="G27" s="41">
        <f t="shared" ref="G27:M27" si="3">G17-G21-G24</f>
        <v>514.41220800000008</v>
      </c>
      <c r="H27" s="41">
        <f t="shared" si="3"/>
        <v>555.56518464000033</v>
      </c>
      <c r="I27" s="41">
        <f t="shared" si="3"/>
        <v>600.0103994112003</v>
      </c>
      <c r="J27" s="41">
        <f t="shared" si="3"/>
        <v>648.01123136409649</v>
      </c>
      <c r="K27" s="41">
        <f t="shared" si="3"/>
        <v>699.85212987322438</v>
      </c>
      <c r="L27" s="41">
        <f t="shared" si="3"/>
        <v>755.8403002630821</v>
      </c>
      <c r="M27" s="41">
        <f t="shared" si="3"/>
        <v>816.3075242841287</v>
      </c>
    </row>
    <row r="28" spans="1:13" x14ac:dyDescent="0.25">
      <c r="A28" s="41" t="s">
        <v>605</v>
      </c>
      <c r="F28" s="51">
        <f>F27/F17</f>
        <v>0.50289696974304221</v>
      </c>
      <c r="G28" s="51">
        <f t="shared" ref="G28:M28" si="4">G27/G17</f>
        <v>0.50289696974304199</v>
      </c>
      <c r="H28" s="51">
        <f t="shared" si="4"/>
        <v>0.50289696974304221</v>
      </c>
      <c r="I28" s="51">
        <f t="shared" si="4"/>
        <v>0.5028969697430421</v>
      </c>
      <c r="J28" s="51">
        <f t="shared" si="4"/>
        <v>0.5028969697430421</v>
      </c>
      <c r="K28" s="51">
        <f t="shared" si="4"/>
        <v>0.50289696974304221</v>
      </c>
      <c r="L28" s="51">
        <f t="shared" si="4"/>
        <v>0.50289696974304199</v>
      </c>
      <c r="M28" s="51">
        <f t="shared" si="4"/>
        <v>0.50289696974304199</v>
      </c>
    </row>
    <row r="30" spans="1:13" x14ac:dyDescent="0.25">
      <c r="A30" s="41" t="s">
        <v>606</v>
      </c>
      <c r="B30" s="46">
        <f>'Cash Flow'!L98</f>
        <v>32.18</v>
      </c>
      <c r="C30" s="46">
        <f>'Cash Flow'!K98</f>
        <v>51.95</v>
      </c>
      <c r="D30" s="46">
        <f>'Cash Flow'!J98</f>
        <v>58.58</v>
      </c>
      <c r="E30" s="46">
        <f>'Cash Flow'!I98</f>
        <v>56.34</v>
      </c>
      <c r="F30" s="41">
        <f>F17*$E$31</f>
        <v>60.847200000000008</v>
      </c>
      <c r="G30" s="41">
        <f t="shared" ref="G30:M30" si="5">G17*$E$31</f>
        <v>65.714976000000007</v>
      </c>
      <c r="H30" s="41">
        <f t="shared" si="5"/>
        <v>70.972174080000016</v>
      </c>
      <c r="I30" s="41">
        <f t="shared" si="5"/>
        <v>76.649948006400024</v>
      </c>
      <c r="J30" s="41">
        <f t="shared" si="5"/>
        <v>82.781943846912043</v>
      </c>
      <c r="K30" s="41">
        <f t="shared" si="5"/>
        <v>89.40449935466502</v>
      </c>
      <c r="L30" s="41">
        <f t="shared" si="5"/>
        <v>96.556859303038223</v>
      </c>
      <c r="M30" s="41">
        <f t="shared" si="5"/>
        <v>104.28140804728129</v>
      </c>
    </row>
    <row r="31" spans="1:13" x14ac:dyDescent="0.25">
      <c r="A31" s="50" t="s">
        <v>607</v>
      </c>
      <c r="E31" s="52">
        <f>E30/E17</f>
        <v>6.4243930807211191E-2</v>
      </c>
    </row>
    <row r="33" spans="1:15" x14ac:dyDescent="0.25">
      <c r="A33" s="41" t="s">
        <v>608</v>
      </c>
      <c r="B33" s="46">
        <f>'Financial Summary'!L34</f>
        <v>10.44</v>
      </c>
      <c r="C33" s="46">
        <f>'Financial Summary'!K34</f>
        <v>6.88</v>
      </c>
      <c r="D33" s="46">
        <f>'Financial Summary'!J34</f>
        <v>27.89</v>
      </c>
      <c r="E33" s="46">
        <f>'Financial Summary'!I34</f>
        <v>27.68</v>
      </c>
      <c r="F33" s="41">
        <f>E17*$E$34</f>
        <v>27.68</v>
      </c>
      <c r="G33" s="41">
        <f t="shared" ref="G33:M33" si="6">F17*$E$34</f>
        <v>29.894400000000005</v>
      </c>
      <c r="H33" s="41">
        <f t="shared" si="6"/>
        <v>32.285952000000002</v>
      </c>
      <c r="I33" s="41">
        <f t="shared" si="6"/>
        <v>34.868828160000007</v>
      </c>
      <c r="J33" s="41">
        <f t="shared" si="6"/>
        <v>37.658334412800009</v>
      </c>
      <c r="K33" s="41">
        <f t="shared" si="6"/>
        <v>40.671001165824016</v>
      </c>
      <c r="L33" s="41">
        <f t="shared" si="6"/>
        <v>43.924681259089944</v>
      </c>
      <c r="M33" s="41">
        <f t="shared" si="6"/>
        <v>47.438655759817145</v>
      </c>
    </row>
    <row r="34" spans="1:15" x14ac:dyDescent="0.25">
      <c r="A34" s="50" t="s">
        <v>609</v>
      </c>
      <c r="E34" s="52">
        <f>E33/E17</f>
        <v>3.1563223371381004E-2</v>
      </c>
    </row>
    <row r="35" spans="1:15" x14ac:dyDescent="0.25">
      <c r="E35" s="46"/>
    </row>
    <row r="36" spans="1:15" x14ac:dyDescent="0.25">
      <c r="E36" s="48"/>
    </row>
    <row r="37" spans="1:15" x14ac:dyDescent="0.25">
      <c r="A37" s="41" t="s">
        <v>610</v>
      </c>
      <c r="B37" s="46">
        <f>('Balance Sheet'!L22+'Balance Sheet'!L23+'Balance Sheet'!L27+'Balance Sheet'!L28+'Balance Sheet'!L33)-('Balance Sheet'!L77+'Balance Sheet'!L89+'Balance Sheet'!L90)</f>
        <v>120.84</v>
      </c>
      <c r="C37" s="46">
        <f>('Balance Sheet'!K22+'Balance Sheet'!K23+'Balance Sheet'!K27+'Balance Sheet'!K28+'Balance Sheet'!K33)-('Balance Sheet'!K77+'Balance Sheet'!K89+'Balance Sheet'!K90)</f>
        <v>246.74</v>
      </c>
      <c r="D37" s="46">
        <f>('Balance Sheet'!J22+'Balance Sheet'!J23+'Balance Sheet'!J27+'Balance Sheet'!J28+'Balance Sheet'!J33)-('Balance Sheet'!J77+'Balance Sheet'!J89+'Balance Sheet'!J90)</f>
        <v>281.19</v>
      </c>
      <c r="E37" s="46">
        <f>('Balance Sheet'!I22+'Balance Sheet'!I23+'Balance Sheet'!I27+'Balance Sheet'!I28+'Balance Sheet'!I33)-('Balance Sheet'!I77+'Balance Sheet'!I89+'Balance Sheet'!I90)</f>
        <v>380.62</v>
      </c>
    </row>
    <row r="38" spans="1:15" x14ac:dyDescent="0.25">
      <c r="A38" s="41" t="s">
        <v>611</v>
      </c>
      <c r="C38" s="41">
        <f>C37-B37</f>
        <v>125.9</v>
      </c>
      <c r="D38" s="41">
        <f t="shared" ref="D38:E38" si="7">D37-C37</f>
        <v>34.449999999999989</v>
      </c>
      <c r="E38" s="41">
        <f t="shared" si="7"/>
        <v>99.43</v>
      </c>
      <c r="F38" s="41">
        <f>E17*$E$40</f>
        <v>100.91961190172894</v>
      </c>
      <c r="G38" s="41">
        <f t="shared" ref="G38:M38" si="8">F17*$E$40</f>
        <v>108.99318085386726</v>
      </c>
      <c r="H38" s="41">
        <f t="shared" si="8"/>
        <v>117.71263532217665</v>
      </c>
      <c r="I38" s="41">
        <f t="shared" si="8"/>
        <v>127.12964614795079</v>
      </c>
      <c r="J38" s="41">
        <f t="shared" si="8"/>
        <v>137.30001783978688</v>
      </c>
      <c r="K38" s="41">
        <f t="shared" si="8"/>
        <v>148.28401926696984</v>
      </c>
      <c r="L38" s="41">
        <f t="shared" si="8"/>
        <v>160.14674080832745</v>
      </c>
      <c r="M38" s="41">
        <f t="shared" si="8"/>
        <v>172.95848007299367</v>
      </c>
    </row>
    <row r="39" spans="1:15" x14ac:dyDescent="0.25">
      <c r="A39" s="41" t="s">
        <v>612</v>
      </c>
      <c r="C39" s="51">
        <f t="shared" ref="C39:D39" si="9">C38/C17</f>
        <v>0.19245761805035391</v>
      </c>
      <c r="D39" s="51">
        <f t="shared" si="9"/>
        <v>3.9396191892046413E-2</v>
      </c>
      <c r="E39" s="51">
        <f>E38/E17</f>
        <v>0.11337902094712476</v>
      </c>
    </row>
    <row r="40" spans="1:15" x14ac:dyDescent="0.25">
      <c r="A40" s="50" t="s">
        <v>613</v>
      </c>
      <c r="E40" s="54">
        <f>AVERAGE(C39:E39)</f>
        <v>0.11507761029650836</v>
      </c>
    </row>
    <row r="42" spans="1:15" x14ac:dyDescent="0.25">
      <c r="N42" s="50" t="s">
        <v>619</v>
      </c>
      <c r="O42" s="50" t="s">
        <v>630</v>
      </c>
    </row>
    <row r="43" spans="1:15" x14ac:dyDescent="0.25">
      <c r="A43" s="41" t="s">
        <v>614</v>
      </c>
      <c r="F43" s="55">
        <f>F27*(1-$E$63)+F30-F33-F38</f>
        <v>289.47828809827121</v>
      </c>
      <c r="G43" s="55">
        <f t="shared" ref="G43:M43" si="10">G27*(1-$E$63)+G30-G33-G38</f>
        <v>312.63655114613272</v>
      </c>
      <c r="H43" s="55">
        <f t="shared" si="10"/>
        <v>337.64747523782358</v>
      </c>
      <c r="I43" s="55">
        <f t="shared" si="10"/>
        <v>364.65927325684947</v>
      </c>
      <c r="J43" s="55">
        <f t="shared" si="10"/>
        <v>393.83201511739742</v>
      </c>
      <c r="K43" s="55">
        <f t="shared" si="10"/>
        <v>425.33857632678951</v>
      </c>
      <c r="L43" s="55">
        <f t="shared" si="10"/>
        <v>459.36566243293237</v>
      </c>
      <c r="M43" s="55">
        <f t="shared" si="10"/>
        <v>496.11491542756698</v>
      </c>
      <c r="N43" s="57">
        <f>M43*(1+$B$6)/($B$5-$B$6)</f>
        <v>12922.7344908706</v>
      </c>
      <c r="O43" s="57">
        <f>N43*M45</f>
        <v>7846.5118989573457</v>
      </c>
    </row>
    <row r="44" spans="1:15" x14ac:dyDescent="0.25">
      <c r="F44" s="55"/>
      <c r="G44" s="55"/>
      <c r="H44" s="55"/>
      <c r="I44" s="55"/>
      <c r="J44" s="55"/>
      <c r="K44" s="55"/>
      <c r="L44" s="55"/>
      <c r="M44" s="55"/>
      <c r="N44" s="55"/>
    </row>
    <row r="45" spans="1:15" x14ac:dyDescent="0.25">
      <c r="A45" s="41" t="s">
        <v>621</v>
      </c>
      <c r="F45" s="41">
        <f>1/(1+$B$5)^1</f>
        <v>0.93954000548172367</v>
      </c>
      <c r="G45" s="41">
        <f>1/(1+$B$5)^2</f>
        <v>0.88273542190059751</v>
      </c>
      <c r="H45" s="41">
        <f>1/(1+$B$5)^3</f>
        <v>0.82936524313139903</v>
      </c>
      <c r="I45" s="41">
        <f>1/(1+$B$5)^4</f>
        <v>0.77922182507802573</v>
      </c>
      <c r="J45" s="41">
        <f>1/(1+$B$5)^5</f>
        <v>0.73211007780528714</v>
      </c>
      <c r="K45" s="41">
        <f>1/(1+$B$5)^6</f>
        <v>0.68784670651440472</v>
      </c>
      <c r="L45" s="41">
        <f>1/(1+$B$5)^7</f>
        <v>0.64625949840912933</v>
      </c>
      <c r="M45" s="41">
        <f>1/(1+$B$5)^8</f>
        <v>0.60718665267792937</v>
      </c>
    </row>
    <row r="46" spans="1:15" x14ac:dyDescent="0.25">
      <c r="N46" s="50" t="s">
        <v>563</v>
      </c>
    </row>
    <row r="47" spans="1:15" x14ac:dyDescent="0.25">
      <c r="A47" s="41" t="s">
        <v>620</v>
      </c>
      <c r="F47" s="55">
        <f>F43*F45</f>
        <v>271.97643238668974</v>
      </c>
      <c r="G47" s="55">
        <f t="shared" ref="G47:M47" si="11">G43*G45</f>
        <v>275.97535787752918</v>
      </c>
      <c r="H47" s="55">
        <f t="shared" si="11"/>
        <v>280.03308039332057</v>
      </c>
      <c r="I47" s="55">
        <f t="shared" si="11"/>
        <v>284.15046443882875</v>
      </c>
      <c r="J47" s="55">
        <f t="shared" si="11"/>
        <v>288.32838722981086</v>
      </c>
      <c r="K47" s="55">
        <f t="shared" si="11"/>
        <v>292.56773887990789</v>
      </c>
      <c r="L47" s="55">
        <f t="shared" si="11"/>
        <v>296.86942259028427</v>
      </c>
      <c r="M47" s="55">
        <f t="shared" si="11"/>
        <v>301.23435484205839</v>
      </c>
      <c r="N47" s="57">
        <f>SUM(F47:M47)</f>
        <v>2291.1352386384297</v>
      </c>
    </row>
    <row r="48" spans="1:15" x14ac:dyDescent="0.25">
      <c r="M48" s="55"/>
    </row>
    <row r="50" spans="1:5" x14ac:dyDescent="0.25">
      <c r="A50" s="41" t="s">
        <v>588</v>
      </c>
      <c r="B50" s="41">
        <v>2017</v>
      </c>
    </row>
    <row r="51" spans="1:5" x14ac:dyDescent="0.25">
      <c r="A51" s="41" t="s">
        <v>622</v>
      </c>
      <c r="B51" s="41">
        <f>'Financial Summary'!I29</f>
        <v>693.28</v>
      </c>
    </row>
    <row r="52" spans="1:5" x14ac:dyDescent="0.25">
      <c r="A52" s="41" t="s">
        <v>218</v>
      </c>
      <c r="B52" s="41">
        <f>'Financial Summary'!I26</f>
        <v>148.69999999999999</v>
      </c>
    </row>
    <row r="53" spans="1:5" x14ac:dyDescent="0.25">
      <c r="A53" s="41" t="s">
        <v>362</v>
      </c>
      <c r="B53" s="41">
        <f>B51-B52</f>
        <v>544.57999999999993</v>
      </c>
    </row>
    <row r="54" spans="1:5" x14ac:dyDescent="0.25">
      <c r="A54" s="41" t="s">
        <v>623</v>
      </c>
      <c r="B54" s="55">
        <f>N47-B53</f>
        <v>1746.5552386384297</v>
      </c>
    </row>
    <row r="55" spans="1:5" x14ac:dyDescent="0.25">
      <c r="A55" s="41" t="s">
        <v>624</v>
      </c>
      <c r="B55" s="46">
        <f>'Financial Summary'!I59</f>
        <v>81.63</v>
      </c>
    </row>
    <row r="56" spans="1:5" x14ac:dyDescent="0.25">
      <c r="A56" s="41" t="s">
        <v>625</v>
      </c>
      <c r="B56" s="55">
        <f>B54/B55</f>
        <v>21.395997043224671</v>
      </c>
      <c r="C56" s="59"/>
    </row>
    <row r="59" spans="1:5" x14ac:dyDescent="0.25">
      <c r="A59" s="41" t="s">
        <v>626</v>
      </c>
    </row>
    <row r="61" spans="1:5" x14ac:dyDescent="0.25">
      <c r="A61" s="41" t="s">
        <v>627</v>
      </c>
      <c r="B61" s="41" t="s">
        <v>563</v>
      </c>
      <c r="C61" s="41" t="s">
        <v>631</v>
      </c>
      <c r="D61" s="41" t="s">
        <v>628</v>
      </c>
      <c r="E61" s="55">
        <f>O43+N47</f>
        <v>10137.647137595775</v>
      </c>
    </row>
    <row r="62" spans="1:5" x14ac:dyDescent="0.25">
      <c r="A62" s="41">
        <v>0</v>
      </c>
      <c r="B62" s="55">
        <f>$E$61+(A62*(1-$E$63)/$E$62)</f>
        <v>10137.647137595775</v>
      </c>
      <c r="C62" s="55">
        <v>14600</v>
      </c>
      <c r="D62" s="41" t="s">
        <v>615</v>
      </c>
      <c r="E62" s="59">
        <f>B5</f>
        <v>6.4350633464806059E-2</v>
      </c>
    </row>
    <row r="63" spans="1:5" x14ac:dyDescent="0.25">
      <c r="A63" s="41">
        <v>100</v>
      </c>
      <c r="B63" s="55">
        <f t="shared" ref="B63:B69" si="12">$E$61+(A63*(1-$E$63)/$E$62)</f>
        <v>11303.136829954719</v>
      </c>
      <c r="C63" s="55">
        <v>14600</v>
      </c>
      <c r="D63" s="41" t="s">
        <v>629</v>
      </c>
      <c r="E63" s="44">
        <f>B11</f>
        <v>0.25</v>
      </c>
    </row>
    <row r="64" spans="1:5" x14ac:dyDescent="0.25">
      <c r="A64" s="53">
        <v>200</v>
      </c>
      <c r="B64" s="68">
        <f t="shared" si="12"/>
        <v>12468.626522313663</v>
      </c>
      <c r="C64" s="68">
        <v>14600</v>
      </c>
    </row>
    <row r="65" spans="1:3" x14ac:dyDescent="0.25">
      <c r="A65" s="50">
        <v>300</v>
      </c>
      <c r="B65" s="57">
        <f t="shared" si="12"/>
        <v>13634.116214672609</v>
      </c>
      <c r="C65" s="57">
        <v>14600</v>
      </c>
    </row>
    <row r="66" spans="1:3" x14ac:dyDescent="0.25">
      <c r="A66" s="41">
        <v>400</v>
      </c>
      <c r="B66" s="55">
        <f t="shared" si="12"/>
        <v>14799.605907031553</v>
      </c>
      <c r="C66" s="55">
        <v>14600</v>
      </c>
    </row>
    <row r="67" spans="1:3" x14ac:dyDescent="0.25">
      <c r="A67" s="53">
        <v>500</v>
      </c>
      <c r="B67" s="68">
        <f t="shared" si="12"/>
        <v>15965.095599390497</v>
      </c>
      <c r="C67" s="68">
        <v>14600</v>
      </c>
    </row>
    <row r="68" spans="1:3" x14ac:dyDescent="0.25">
      <c r="A68" s="41">
        <v>600</v>
      </c>
      <c r="B68" s="55">
        <f t="shared" si="12"/>
        <v>17130.585291749441</v>
      </c>
      <c r="C68" s="55">
        <v>14600</v>
      </c>
    </row>
    <row r="69" spans="1:3" x14ac:dyDescent="0.25">
      <c r="A69" s="41">
        <v>700</v>
      </c>
      <c r="B69" s="55">
        <f t="shared" si="12"/>
        <v>18296.074984108385</v>
      </c>
      <c r="C69" s="55">
        <v>14600</v>
      </c>
    </row>
    <row r="73" spans="1:3" x14ac:dyDescent="0.25">
      <c r="A73" s="41" t="s">
        <v>639</v>
      </c>
    </row>
    <row r="75" spans="1:3" x14ac:dyDescent="0.25">
      <c r="A75" s="41" t="s">
        <v>640</v>
      </c>
      <c r="B75" s="59">
        <f>B7</f>
        <v>4.2500000000000003E-2</v>
      </c>
    </row>
    <row r="76" spans="1:3" x14ac:dyDescent="0.25">
      <c r="A76" s="41" t="s">
        <v>641</v>
      </c>
      <c r="B76" s="59">
        <f>B8</f>
        <v>5.5E-2</v>
      </c>
    </row>
    <row r="77" spans="1:3" x14ac:dyDescent="0.25">
      <c r="A77" s="41" t="s">
        <v>642</v>
      </c>
      <c r="B77" s="72">
        <f>B9</f>
        <v>0.74</v>
      </c>
    </row>
    <row r="78" spans="1:3" x14ac:dyDescent="0.25">
      <c r="A78" s="41" t="s">
        <v>643</v>
      </c>
      <c r="B78" s="59">
        <f>B75+B77*(B76)</f>
        <v>8.3199999999999996E-2</v>
      </c>
    </row>
    <row r="79" spans="1:3" x14ac:dyDescent="0.25">
      <c r="A79" s="41" t="s">
        <v>644</v>
      </c>
      <c r="B79" s="59">
        <f>B10</f>
        <v>3.8512577890606969E-2</v>
      </c>
    </row>
    <row r="80" spans="1:3" x14ac:dyDescent="0.25">
      <c r="A80" s="41" t="s">
        <v>645</v>
      </c>
      <c r="B80" s="44">
        <f>B11</f>
        <v>0.25</v>
      </c>
    </row>
    <row r="81" spans="1:2" x14ac:dyDescent="0.25">
      <c r="A81" s="41" t="s">
        <v>652</v>
      </c>
      <c r="B81" s="59">
        <f>B79*(1-B80)</f>
        <v>2.8884433417955227E-2</v>
      </c>
    </row>
    <row r="82" spans="1:2" x14ac:dyDescent="0.25">
      <c r="A82" s="41" t="s">
        <v>655</v>
      </c>
      <c r="B82" s="55">
        <v>15.98</v>
      </c>
    </row>
    <row r="83" spans="1:2" x14ac:dyDescent="0.25">
      <c r="A83" s="41" t="s">
        <v>656</v>
      </c>
      <c r="B83" s="55">
        <f>'Financial Summary'!I59</f>
        <v>81.63</v>
      </c>
    </row>
    <row r="84" spans="1:2" x14ac:dyDescent="0.25">
      <c r="A84" s="41" t="s">
        <v>646</v>
      </c>
      <c r="B84" s="55">
        <f>B83*B82</f>
        <v>1304.4474</v>
      </c>
    </row>
    <row r="85" spans="1:2" x14ac:dyDescent="0.25">
      <c r="A85" s="41" t="s">
        <v>647</v>
      </c>
      <c r="B85" s="55">
        <f>'Financial Summary'!I29</f>
        <v>693.28</v>
      </c>
    </row>
    <row r="86" spans="1:2" x14ac:dyDescent="0.25">
      <c r="A86" s="41" t="s">
        <v>648</v>
      </c>
      <c r="B86" s="55">
        <f>B84+B85</f>
        <v>1997.7274</v>
      </c>
    </row>
    <row r="87" spans="1:2" x14ac:dyDescent="0.25">
      <c r="A87" s="41" t="s">
        <v>653</v>
      </c>
      <c r="B87" s="73">
        <f>B84/B86</f>
        <v>0.65296566488500885</v>
      </c>
    </row>
    <row r="88" spans="1:2" x14ac:dyDescent="0.25">
      <c r="A88" s="41" t="s">
        <v>654</v>
      </c>
      <c r="B88" s="73">
        <f>B85/B86</f>
        <v>0.34703433511499115</v>
      </c>
    </row>
    <row r="89" spans="1:2" x14ac:dyDescent="0.25">
      <c r="A89" s="42" t="s">
        <v>615</v>
      </c>
      <c r="B89" s="41">
        <f>(B87*B78)+(B88*B79*(1-B80))</f>
        <v>6.4350633464806059E-2</v>
      </c>
    </row>
  </sheetData>
  <hyperlinks>
    <hyperlink ref="F6" r:id="rId1" display="https://valueinvesting.io/DISCA/valuation/wacc?utm_source=chatgpt.com" xr:uid="{032A85A6-78F7-4CB6-A69B-1D2A075D8EED}"/>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FE88D-3290-486F-AEDB-F15F1F9B7DB4}">
  <dimension ref="A1:I7"/>
  <sheetViews>
    <sheetView zoomScale="102" workbookViewId="0">
      <selection sqref="A1:I7"/>
    </sheetView>
  </sheetViews>
  <sheetFormatPr defaultRowHeight="14.4" x14ac:dyDescent="0.3"/>
  <cols>
    <col min="1" max="1" width="30.6640625" bestFit="1" customWidth="1"/>
  </cols>
  <sheetData>
    <row r="1" spans="1:9" x14ac:dyDescent="0.3">
      <c r="A1" s="80"/>
      <c r="B1" s="65" t="s">
        <v>591</v>
      </c>
      <c r="C1" s="64" t="s">
        <v>592</v>
      </c>
      <c r="D1" s="64" t="s">
        <v>593</v>
      </c>
      <c r="E1" s="64" t="s">
        <v>594</v>
      </c>
      <c r="F1" s="64" t="s">
        <v>595</v>
      </c>
      <c r="G1" s="64" t="s">
        <v>596</v>
      </c>
      <c r="H1" s="64" t="s">
        <v>597</v>
      </c>
      <c r="I1" s="64" t="s">
        <v>598</v>
      </c>
    </row>
    <row r="2" spans="1:9" x14ac:dyDescent="0.3">
      <c r="A2" s="60" t="s">
        <v>637</v>
      </c>
    </row>
    <row r="3" spans="1:9" x14ac:dyDescent="0.3">
      <c r="A3" s="61" t="s">
        <v>633</v>
      </c>
      <c r="B3" s="66">
        <f>Analysis!F27*(1-Analysis!$E$63)</f>
        <v>357.23070000000018</v>
      </c>
      <c r="C3" s="66">
        <f>Analysis!G27*(1-Analysis!$E$63)</f>
        <v>385.80915600000003</v>
      </c>
      <c r="D3" s="66">
        <f>Analysis!H27*(1-Analysis!$E$63)</f>
        <v>416.67388848000024</v>
      </c>
      <c r="E3" s="66">
        <f>Analysis!I27*(1-Analysis!$E$63)</f>
        <v>450.00779955840022</v>
      </c>
      <c r="F3" s="66">
        <f>Analysis!J27*(1-Analysis!$E$63)</f>
        <v>486.00842352307234</v>
      </c>
      <c r="G3" s="66">
        <f>Analysis!K27*(1-Analysis!$E$63)</f>
        <v>524.88909740491829</v>
      </c>
      <c r="H3" s="66">
        <f>Analysis!L27*(1-Analysis!$E$63)</f>
        <v>566.88022519731157</v>
      </c>
      <c r="I3" s="66">
        <f>Analysis!M27*(1-Analysis!$E$63)</f>
        <v>612.23064321309653</v>
      </c>
    </row>
    <row r="4" spans="1:9" x14ac:dyDescent="0.3">
      <c r="A4" s="61" t="s">
        <v>634</v>
      </c>
      <c r="B4" s="66">
        <f>Analysis!F30</f>
        <v>60.847200000000008</v>
      </c>
      <c r="C4" s="66">
        <f>Analysis!G30</f>
        <v>65.714976000000007</v>
      </c>
      <c r="D4" s="66">
        <f>Analysis!H30</f>
        <v>70.972174080000016</v>
      </c>
      <c r="E4" s="66">
        <f>Analysis!I30</f>
        <v>76.649948006400024</v>
      </c>
      <c r="F4" s="66">
        <f>Analysis!J30</f>
        <v>82.781943846912043</v>
      </c>
      <c r="G4" s="66">
        <f>Analysis!K30</f>
        <v>89.40449935466502</v>
      </c>
      <c r="H4" s="66">
        <f>Analysis!L30</f>
        <v>96.556859303038223</v>
      </c>
      <c r="I4" s="66">
        <f>Analysis!M30</f>
        <v>104.28140804728129</v>
      </c>
    </row>
    <row r="5" spans="1:9" x14ac:dyDescent="0.3">
      <c r="A5" s="61" t="s">
        <v>635</v>
      </c>
      <c r="B5" s="67">
        <f>Analysis!F38</f>
        <v>100.91961190172894</v>
      </c>
      <c r="C5" s="67">
        <f>Analysis!G38</f>
        <v>108.99318085386726</v>
      </c>
      <c r="D5" s="67">
        <f>Analysis!H38</f>
        <v>117.71263532217665</v>
      </c>
      <c r="E5" s="67">
        <f>Analysis!I38</f>
        <v>127.12964614795079</v>
      </c>
      <c r="F5" s="67">
        <f>Analysis!J38</f>
        <v>137.30001783978688</v>
      </c>
      <c r="G5" s="67">
        <f>Analysis!K38</f>
        <v>148.28401926696984</v>
      </c>
      <c r="H5" s="67">
        <f>Analysis!L38</f>
        <v>160.14674080832745</v>
      </c>
      <c r="I5" s="67">
        <f>Analysis!M38</f>
        <v>172.95848007299367</v>
      </c>
    </row>
    <row r="6" spans="1:9" x14ac:dyDescent="0.3">
      <c r="A6" s="61" t="s">
        <v>636</v>
      </c>
      <c r="B6" s="67">
        <f>Analysis!F33</f>
        <v>27.68</v>
      </c>
      <c r="C6" s="67">
        <f>Analysis!G33</f>
        <v>29.894400000000005</v>
      </c>
      <c r="D6" s="67">
        <f>Analysis!H33</f>
        <v>32.285952000000002</v>
      </c>
      <c r="E6" s="67">
        <f>Analysis!I33</f>
        <v>34.868828160000007</v>
      </c>
      <c r="F6" s="67">
        <f>Analysis!J33</f>
        <v>37.658334412800009</v>
      </c>
      <c r="G6" s="67">
        <f>Analysis!K33</f>
        <v>40.671001165824016</v>
      </c>
      <c r="H6" s="67">
        <f>Analysis!L33</f>
        <v>43.924681259089944</v>
      </c>
      <c r="I6" s="67">
        <f>Analysis!M33</f>
        <v>47.438655759817145</v>
      </c>
    </row>
    <row r="7" spans="1:9" x14ac:dyDescent="0.3">
      <c r="A7" s="62" t="s">
        <v>632</v>
      </c>
      <c r="B7" s="63">
        <f>B3+B4-B5-B6</f>
        <v>289.47828809827121</v>
      </c>
      <c r="C7" s="63">
        <f t="shared" ref="C7:I7" si="0">C3+C4-C5-C6</f>
        <v>312.63655114613272</v>
      </c>
      <c r="D7" s="63">
        <f t="shared" si="0"/>
        <v>337.64747523782358</v>
      </c>
      <c r="E7" s="63">
        <f t="shared" si="0"/>
        <v>364.65927325684947</v>
      </c>
      <c r="F7" s="63">
        <f t="shared" si="0"/>
        <v>393.83201511739748</v>
      </c>
      <c r="G7" s="63">
        <f t="shared" si="0"/>
        <v>425.33857632678951</v>
      </c>
      <c r="H7" s="63">
        <f t="shared" si="0"/>
        <v>459.36566243293242</v>
      </c>
      <c r="I7" s="63">
        <f t="shared" si="0"/>
        <v>496.11491542756698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Income Statement</vt:lpstr>
      <vt:lpstr>Balance Sheet</vt:lpstr>
      <vt:lpstr>Cash Flow</vt:lpstr>
      <vt:lpstr>Operating Metrics</vt:lpstr>
      <vt:lpstr>Financial Summary</vt:lpstr>
      <vt:lpstr>Analysis</vt:lpstr>
      <vt:lpstr>FCFF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 Landge</dc:creator>
  <cp:lastModifiedBy>Tejas Landge</cp:lastModifiedBy>
  <dcterms:created xsi:type="dcterms:W3CDTF">2025-06-27T19:45:25Z</dcterms:created>
  <dcterms:modified xsi:type="dcterms:W3CDTF">2025-07-29T20:32:54Z</dcterms:modified>
</cp:coreProperties>
</file>