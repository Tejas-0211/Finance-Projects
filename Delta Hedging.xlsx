
<file path=[Content_Types].xml><?xml version="1.0" encoding="utf-8"?>
<Types xmlns="http://schemas.openxmlformats.org/package/2006/content-types">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3.xml" ContentType="application/vnd.openxmlformats-officedocument.spreadsheetml.comment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omments4.xml" ContentType="application/vnd.openxmlformats-officedocument.spreadsheetml.comments+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18"/>
  <workbookPr/>
  <mc:AlternateContent xmlns:mc="http://schemas.openxmlformats.org/markup-compatibility/2006">
    <mc:Choice Requires="x15">
      <x15ac:absPath xmlns:x15ac="http://schemas.microsoft.com/office/spreadsheetml/2010/11/ac" url="https://ucd-my.sharepoint.com/personal/mahek_kathuria_ucdconnect_ie/Documents/"/>
    </mc:Choice>
  </mc:AlternateContent>
  <xr:revisionPtr revIDLastSave="0" documentId="8_{EDEC8BA0-4C3B-426B-A371-5FC2DC306F5A}" xr6:coauthVersionLast="47" xr6:coauthVersionMax="47" xr10:uidLastSave="{00000000-0000-0000-0000-000000000000}"/>
  <bookViews>
    <workbookView xWindow="-108" yWindow="-108" windowWidth="23256" windowHeight="12456" firstSheet="1" activeTab="3" xr2:uid="{6A40B137-CE80-4445-9094-7CEDB37313F2}"/>
  </bookViews>
  <sheets>
    <sheet name="Q2. Implied Volatality" sheetId="6" state="hidden" r:id="rId1"/>
    <sheet name="Q1-(Without Zero Volume)" sheetId="1" r:id="rId2"/>
    <sheet name="Q1. Put- Call Parity(With zero " sheetId="9" state="hidden" r:id="rId3"/>
    <sheet name="Q2. Implied Volatality - Final" sheetId="7" r:id="rId4"/>
    <sheet name="Q3. Delta Hedging " sheetId="15" r:id="rId5"/>
    <sheet name="Q3. Delta Hedging" sheetId="11" state="hidden" r:id="rId6"/>
    <sheet name="Q3. Delta Hedging (2)" sheetId="14" state="hidden" r:id="rId7"/>
    <sheet name="Q4. Volatility Trade" sheetId="16" r:id="rId8"/>
    <sheet name="Bloomberg Raw Data- all volumes" sheetId="8" r:id="rId9"/>
    <sheet name="Bloomberg Raw Data-5th(No zero)" sheetId="5" r:id="rId10"/>
    <sheet name="Historical Prices" sheetId="13" r:id="rId11"/>
    <sheet name="Tracked Data - MRK" sheetId="4" r:id="rId12"/>
    <sheet name="Bloomberg Raw Data-5th (2)" sheetId="10" state="hidden" r:id="rId13"/>
  </sheets>
  <externalReferences>
    <externalReference r:id="rId14"/>
  </externalReferences>
  <definedNames>
    <definedName name="_xlnm._FilterDatabase" localSheetId="8" hidden="1">'Bloomberg Raw Data- all volumes'!$A$6:$N$83</definedName>
    <definedName name="_xlnm._FilterDatabase" localSheetId="12" hidden="1">'Bloomberg Raw Data-5th (2)'!$A$6:$N$73</definedName>
    <definedName name="_xlnm._FilterDatabase" localSheetId="9" hidden="1">'Bloomberg Raw Data-5th(No zero)'!$A$4:$N$19</definedName>
    <definedName name="_xlnm._FilterDatabase" localSheetId="2" hidden="1">'Q1. Put- Call Parity(With zero '!$B$4:$S$4</definedName>
    <definedName name="_xlnm._FilterDatabase" localSheetId="11" hidden="1">'Tracked Data - MRK'!$A$5:$AG$45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 i="1" l="1"/>
  <c r="P6" i="1"/>
  <c r="P7" i="1"/>
  <c r="P8" i="1"/>
  <c r="P9" i="1"/>
  <c r="P10" i="1"/>
  <c r="P11" i="1"/>
  <c r="P12" i="1"/>
  <c r="P13" i="1"/>
  <c r="P14" i="1"/>
  <c r="P15" i="1"/>
  <c r="P16" i="1"/>
  <c r="P17" i="1"/>
  <c r="C36" i="7"/>
  <c r="C37" i="7"/>
  <c r="C38" i="7"/>
  <c r="C39" i="7"/>
  <c r="C40" i="7"/>
  <c r="C41" i="7"/>
  <c r="C42" i="7"/>
  <c r="C35" i="7"/>
  <c r="C34" i="7"/>
  <c r="C30" i="7"/>
  <c r="C31" i="7"/>
  <c r="C32" i="7"/>
  <c r="C33" i="7"/>
  <c r="C29" i="7"/>
  <c r="C15" i="7"/>
  <c r="C16" i="7"/>
  <c r="C17" i="7"/>
  <c r="C18" i="7"/>
  <c r="C19" i="7"/>
  <c r="C20" i="7"/>
  <c r="C21" i="7"/>
  <c r="C14" i="7"/>
  <c r="C13" i="7"/>
  <c r="C10" i="7"/>
  <c r="C11" i="7"/>
  <c r="C12" i="7"/>
  <c r="C9" i="7"/>
  <c r="U9" i="15"/>
  <c r="M26" i="15"/>
  <c r="M24" i="15"/>
  <c r="D35" i="1"/>
  <c r="D34" i="1"/>
  <c r="D30" i="1"/>
  <c r="C117" i="16"/>
  <c r="B117" i="16"/>
  <c r="D117" i="16" s="1"/>
  <c r="C116" i="16"/>
  <c r="B116" i="16"/>
  <c r="D116" i="16" s="1"/>
  <c r="C115" i="16"/>
  <c r="B115" i="16"/>
  <c r="D115" i="16" s="1"/>
  <c r="C114" i="16"/>
  <c r="B114" i="16"/>
  <c r="D114" i="16" s="1"/>
  <c r="C113" i="16"/>
  <c r="B113" i="16"/>
  <c r="D113" i="16" s="1"/>
  <c r="C112" i="16"/>
  <c r="B112" i="16"/>
  <c r="D112" i="16" s="1"/>
  <c r="C111" i="16"/>
  <c r="B111" i="16"/>
  <c r="D111" i="16" s="1"/>
  <c r="C110" i="16"/>
  <c r="B110" i="16"/>
  <c r="D110" i="16" s="1"/>
  <c r="C109" i="16"/>
  <c r="B109" i="16"/>
  <c r="D109" i="16" s="1"/>
  <c r="C108" i="16"/>
  <c r="B108" i="16"/>
  <c r="D108" i="16" s="1"/>
  <c r="C107" i="16"/>
  <c r="B107" i="16"/>
  <c r="D107" i="16" s="1"/>
  <c r="C106" i="16"/>
  <c r="B106" i="16"/>
  <c r="D106" i="16" s="1"/>
  <c r="C105" i="16"/>
  <c r="B105" i="16"/>
  <c r="D105" i="16" s="1"/>
  <c r="C104" i="16"/>
  <c r="B104" i="16"/>
  <c r="D104" i="16" s="1"/>
  <c r="C103" i="16"/>
  <c r="B103" i="16"/>
  <c r="D103" i="16" s="1"/>
  <c r="C102" i="16"/>
  <c r="B102" i="16"/>
  <c r="D102" i="16" s="1"/>
  <c r="C101" i="16"/>
  <c r="B101" i="16"/>
  <c r="D101" i="16" s="1"/>
  <c r="C100" i="16"/>
  <c r="B100" i="16"/>
  <c r="D100" i="16" s="1"/>
  <c r="C99" i="16"/>
  <c r="B99" i="16"/>
  <c r="D99" i="16" s="1"/>
  <c r="C98" i="16"/>
  <c r="B98" i="16"/>
  <c r="D98" i="16" s="1"/>
  <c r="C97" i="16"/>
  <c r="B97" i="16"/>
  <c r="D97" i="16" s="1"/>
  <c r="C96" i="16"/>
  <c r="B96" i="16"/>
  <c r="D96" i="16" s="1"/>
  <c r="C95" i="16"/>
  <c r="B95" i="16"/>
  <c r="D95" i="16" s="1"/>
  <c r="C94" i="16"/>
  <c r="B94" i="16"/>
  <c r="D94" i="16" s="1"/>
  <c r="C93" i="16"/>
  <c r="B93" i="16"/>
  <c r="D93" i="16" s="1"/>
  <c r="C92" i="16"/>
  <c r="B92" i="16"/>
  <c r="D92" i="16" s="1"/>
  <c r="C91" i="16"/>
  <c r="B91" i="16"/>
  <c r="D91" i="16" s="1"/>
  <c r="B87" i="16"/>
  <c r="C78" i="16"/>
  <c r="D78" i="16" s="1"/>
  <c r="B78" i="16"/>
  <c r="C77" i="16"/>
  <c r="B77" i="16"/>
  <c r="D77" i="16" s="1"/>
  <c r="C76" i="16"/>
  <c r="B76" i="16"/>
  <c r="D76" i="16" s="1"/>
  <c r="C75" i="16"/>
  <c r="B75" i="16"/>
  <c r="D75" i="16" s="1"/>
  <c r="C74" i="16"/>
  <c r="D74" i="16" s="1"/>
  <c r="B74" i="16"/>
  <c r="C73" i="16"/>
  <c r="B73" i="16"/>
  <c r="D73" i="16" s="1"/>
  <c r="C72" i="16"/>
  <c r="B72" i="16"/>
  <c r="D72" i="16" s="1"/>
  <c r="C71" i="16"/>
  <c r="B71" i="16"/>
  <c r="D71" i="16" s="1"/>
  <c r="C70" i="16"/>
  <c r="D70" i="16" s="1"/>
  <c r="B70" i="16"/>
  <c r="C69" i="16"/>
  <c r="B69" i="16"/>
  <c r="D69" i="16" s="1"/>
  <c r="C68" i="16"/>
  <c r="B68" i="16"/>
  <c r="D68" i="16" s="1"/>
  <c r="C67" i="16"/>
  <c r="B67" i="16"/>
  <c r="D67" i="16" s="1"/>
  <c r="C66" i="16"/>
  <c r="D66" i="16" s="1"/>
  <c r="B66" i="16"/>
  <c r="C65" i="16"/>
  <c r="B65" i="16"/>
  <c r="D65" i="16" s="1"/>
  <c r="C64" i="16"/>
  <c r="B64" i="16"/>
  <c r="D64" i="16" s="1"/>
  <c r="C63" i="16"/>
  <c r="B63" i="16"/>
  <c r="D63" i="16" s="1"/>
  <c r="C62" i="16"/>
  <c r="D62" i="16" s="1"/>
  <c r="B62" i="16"/>
  <c r="C61" i="16"/>
  <c r="B61" i="16"/>
  <c r="D61" i="16" s="1"/>
  <c r="C60" i="16"/>
  <c r="B60" i="16"/>
  <c r="D60" i="16" s="1"/>
  <c r="C59" i="16"/>
  <c r="B59" i="16"/>
  <c r="D59" i="16" s="1"/>
  <c r="C58" i="16"/>
  <c r="D58" i="16" s="1"/>
  <c r="B58" i="16"/>
  <c r="C57" i="16"/>
  <c r="B57" i="16"/>
  <c r="D57" i="16" s="1"/>
  <c r="C56" i="16"/>
  <c r="B56" i="16"/>
  <c r="D56" i="16" s="1"/>
  <c r="C55" i="16"/>
  <c r="B55" i="16"/>
  <c r="D55" i="16" s="1"/>
  <c r="C54" i="16"/>
  <c r="D54" i="16" s="1"/>
  <c r="B54" i="16"/>
  <c r="C53" i="16"/>
  <c r="B53" i="16"/>
  <c r="D53" i="16" s="1"/>
  <c r="C52" i="16"/>
  <c r="B52" i="16"/>
  <c r="D52" i="16" s="1"/>
  <c r="B48" i="16"/>
  <c r="C34" i="16"/>
  <c r="D34" i="16"/>
  <c r="C33" i="16"/>
  <c r="D33" i="16"/>
  <c r="D32" i="16"/>
  <c r="C31" i="16"/>
  <c r="D31" i="16"/>
  <c r="D30" i="16"/>
  <c r="C30" i="16"/>
  <c r="C29" i="16"/>
  <c r="D29" i="16"/>
  <c r="C28" i="16"/>
  <c r="C27" i="16"/>
  <c r="D27" i="16"/>
  <c r="D26" i="16"/>
  <c r="C26" i="16"/>
  <c r="D25" i="16"/>
  <c r="C25" i="16"/>
  <c r="D24" i="16"/>
  <c r="C24" i="16"/>
  <c r="D23" i="16"/>
  <c r="C23" i="16"/>
  <c r="D22" i="16"/>
  <c r="C22" i="16"/>
  <c r="D21" i="16"/>
  <c r="C21" i="16"/>
  <c r="D20" i="16"/>
  <c r="C20" i="16"/>
  <c r="D19" i="16"/>
  <c r="C19" i="16"/>
  <c r="D18" i="16"/>
  <c r="C18" i="16"/>
  <c r="D17" i="16"/>
  <c r="C17" i="16"/>
  <c r="D16" i="16"/>
  <c r="C16" i="16"/>
  <c r="D15" i="16"/>
  <c r="C15" i="16"/>
  <c r="D14" i="16"/>
  <c r="C14" i="16"/>
  <c r="D13" i="16"/>
  <c r="C13" i="16"/>
  <c r="I12" i="16"/>
  <c r="L12" i="16" s="1"/>
  <c r="D12" i="16"/>
  <c r="C12" i="16"/>
  <c r="K11" i="16"/>
  <c r="D11" i="16"/>
  <c r="C11" i="16"/>
  <c r="J10" i="16"/>
  <c r="D10" i="16"/>
  <c r="C10" i="16"/>
  <c r="D9" i="16"/>
  <c r="C9" i="16"/>
  <c r="D8" i="16"/>
  <c r="C8" i="16"/>
  <c r="D7" i="16"/>
  <c r="C7" i="16"/>
  <c r="D6" i="16"/>
  <c r="E27" i="16" s="1"/>
  <c r="F27" i="16" s="1"/>
  <c r="C6" i="16"/>
  <c r="C5" i="16"/>
  <c r="E28" i="16" l="1"/>
  <c r="F28" i="16" s="1"/>
  <c r="D28" i="16"/>
  <c r="E33" i="16" s="1"/>
  <c r="F33" i="16" s="1"/>
  <c r="E29" i="16"/>
  <c r="F29" i="16" s="1"/>
  <c r="C32" i="16"/>
  <c r="E34" i="16"/>
  <c r="F34" i="16" s="1"/>
  <c r="E32" i="16"/>
  <c r="F32" i="16" s="1"/>
  <c r="D35" i="16"/>
  <c r="J12" i="16"/>
  <c r="K12" i="16"/>
  <c r="E35" i="16" l="1"/>
  <c r="F35" i="16" s="1"/>
  <c r="E31" i="16"/>
  <c r="F31" i="16" s="1"/>
  <c r="E30" i="16"/>
  <c r="F30" i="16" s="1"/>
  <c r="E24" i="13" l="1"/>
  <c r="F24" i="13" s="1"/>
  <c r="P24" i="15" s="1"/>
  <c r="F27" i="13"/>
  <c r="F25" i="13"/>
  <c r="Z29" i="15" l="1"/>
  <c r="Z12" i="15"/>
  <c r="O9" i="1" l="1"/>
  <c r="O8" i="15"/>
  <c r="O24" i="15"/>
  <c r="N25" i="15"/>
  <c r="N26" i="15"/>
  <c r="N27" i="15"/>
  <c r="N28" i="15"/>
  <c r="N29" i="15"/>
  <c r="N30" i="15"/>
  <c r="N31" i="15"/>
  <c r="N32" i="15"/>
  <c r="N24" i="15"/>
  <c r="AB9" i="14"/>
  <c r="Y8" i="14"/>
  <c r="O9" i="15"/>
  <c r="O25" i="15" s="1"/>
  <c r="O10" i="15"/>
  <c r="O26" i="15" s="1"/>
  <c r="O11" i="15"/>
  <c r="O27" i="15" s="1"/>
  <c r="O12" i="15"/>
  <c r="O28" i="15" s="1"/>
  <c r="O13" i="15"/>
  <c r="O29" i="15" s="1"/>
  <c r="O14" i="15"/>
  <c r="O30" i="15" s="1"/>
  <c r="O15" i="15"/>
  <c r="O31" i="15" s="1"/>
  <c r="O16" i="15"/>
  <c r="O32" i="15" s="1"/>
  <c r="R32" i="15" s="1"/>
  <c r="P8" i="15"/>
  <c r="E69" i="15"/>
  <c r="E68" i="15"/>
  <c r="E67" i="15"/>
  <c r="E66" i="15"/>
  <c r="E65" i="15"/>
  <c r="E64" i="15"/>
  <c r="E63" i="15"/>
  <c r="F62" i="15"/>
  <c r="F61" i="15"/>
  <c r="E61" i="15"/>
  <c r="F60" i="15"/>
  <c r="E60" i="15"/>
  <c r="F59" i="15"/>
  <c r="E59" i="15"/>
  <c r="F58" i="15"/>
  <c r="E58" i="15"/>
  <c r="F57" i="15"/>
  <c r="E57" i="15"/>
  <c r="F56" i="15"/>
  <c r="E56" i="15"/>
  <c r="F55" i="15"/>
  <c r="E55" i="15"/>
  <c r="F54" i="15"/>
  <c r="E54" i="15"/>
  <c r="F53" i="15"/>
  <c r="E53" i="15"/>
  <c r="F52" i="15"/>
  <c r="E52" i="15"/>
  <c r="F51" i="15"/>
  <c r="E51" i="15"/>
  <c r="F50" i="15"/>
  <c r="E50" i="15"/>
  <c r="F49" i="15"/>
  <c r="E49" i="15"/>
  <c r="F48" i="15"/>
  <c r="E48" i="15"/>
  <c r="F47" i="15"/>
  <c r="E47" i="15"/>
  <c r="F46" i="15"/>
  <c r="E46" i="15"/>
  <c r="F45" i="15"/>
  <c r="E45" i="15"/>
  <c r="F44" i="15"/>
  <c r="E44" i="15"/>
  <c r="F43" i="15"/>
  <c r="E43" i="15"/>
  <c r="F42" i="15"/>
  <c r="E42" i="15"/>
  <c r="F41" i="15"/>
  <c r="E41" i="15"/>
  <c r="E40" i="15"/>
  <c r="E32" i="15"/>
  <c r="K16" i="15"/>
  <c r="K32" i="15" s="1"/>
  <c r="J16" i="15"/>
  <c r="I16" i="15"/>
  <c r="I32" i="15" s="1"/>
  <c r="H16" i="15"/>
  <c r="G16" i="15"/>
  <c r="G32" i="15" s="1"/>
  <c r="F16" i="15"/>
  <c r="F32" i="15" s="1"/>
  <c r="D16" i="15"/>
  <c r="D32" i="15" s="1"/>
  <c r="C16" i="15"/>
  <c r="C32" i="15" s="1"/>
  <c r="B16" i="15"/>
  <c r="B32" i="15" s="1"/>
  <c r="K15" i="15"/>
  <c r="K31" i="15" s="1"/>
  <c r="J15" i="15"/>
  <c r="I15" i="15"/>
  <c r="I31" i="15" s="1"/>
  <c r="H15" i="15"/>
  <c r="G15" i="15"/>
  <c r="G31" i="15" s="1"/>
  <c r="F15" i="15"/>
  <c r="F31" i="15" s="1"/>
  <c r="D15" i="15"/>
  <c r="C15" i="15"/>
  <c r="C31" i="15" s="1"/>
  <c r="B15" i="15"/>
  <c r="B31" i="15" s="1"/>
  <c r="K14" i="15"/>
  <c r="K30" i="15" s="1"/>
  <c r="J14" i="15"/>
  <c r="I14" i="15"/>
  <c r="I30" i="15" s="1"/>
  <c r="H14" i="15"/>
  <c r="G14" i="15"/>
  <c r="G30" i="15" s="1"/>
  <c r="F14" i="15"/>
  <c r="F30" i="15" s="1"/>
  <c r="D14" i="15"/>
  <c r="C14" i="15"/>
  <c r="C30" i="15" s="1"/>
  <c r="B14" i="15"/>
  <c r="B30" i="15" s="1"/>
  <c r="K13" i="15"/>
  <c r="K29" i="15" s="1"/>
  <c r="J13" i="15"/>
  <c r="I13" i="15"/>
  <c r="I29" i="15" s="1"/>
  <c r="H13" i="15"/>
  <c r="G13" i="15"/>
  <c r="G29" i="15" s="1"/>
  <c r="F13" i="15"/>
  <c r="D13" i="15"/>
  <c r="C13" i="15"/>
  <c r="C29" i="15" s="1"/>
  <c r="B13" i="15"/>
  <c r="B29" i="15" s="1"/>
  <c r="K12" i="15"/>
  <c r="K28" i="15" s="1"/>
  <c r="J12" i="15"/>
  <c r="I12" i="15"/>
  <c r="I28" i="15" s="1"/>
  <c r="H12" i="15"/>
  <c r="G12" i="15"/>
  <c r="G28" i="15" s="1"/>
  <c r="F12" i="15"/>
  <c r="F28" i="15" s="1"/>
  <c r="D12" i="15"/>
  <c r="C12" i="15"/>
  <c r="C28" i="15" s="1"/>
  <c r="B12" i="15"/>
  <c r="B28" i="15" s="1"/>
  <c r="K11" i="15"/>
  <c r="K27" i="15" s="1"/>
  <c r="J11" i="15"/>
  <c r="I11" i="15"/>
  <c r="I27" i="15" s="1"/>
  <c r="H11" i="15"/>
  <c r="H27" i="15" s="1"/>
  <c r="G11" i="15"/>
  <c r="G27" i="15" s="1"/>
  <c r="F11" i="15"/>
  <c r="D11" i="15"/>
  <c r="D27" i="15" s="1"/>
  <c r="C11" i="15"/>
  <c r="C27" i="15" s="1"/>
  <c r="B11" i="15"/>
  <c r="B27" i="15" s="1"/>
  <c r="K10" i="15"/>
  <c r="K26" i="15" s="1"/>
  <c r="J10" i="15"/>
  <c r="J26" i="15" s="1"/>
  <c r="I10" i="15"/>
  <c r="I26" i="15" s="1"/>
  <c r="H10" i="15"/>
  <c r="H26" i="15" s="1"/>
  <c r="G10" i="15"/>
  <c r="G26" i="15" s="1"/>
  <c r="F10" i="15"/>
  <c r="F26" i="15" s="1"/>
  <c r="D10" i="15"/>
  <c r="D26" i="15" s="1"/>
  <c r="C10" i="15"/>
  <c r="C26" i="15" s="1"/>
  <c r="B10" i="15"/>
  <c r="B26" i="15" s="1"/>
  <c r="K9" i="15"/>
  <c r="K25" i="15" s="1"/>
  <c r="J9" i="15"/>
  <c r="J25" i="15" s="1"/>
  <c r="I9" i="15"/>
  <c r="I25" i="15" s="1"/>
  <c r="H9" i="15"/>
  <c r="L9" i="15" s="1"/>
  <c r="G9" i="15"/>
  <c r="G25" i="15" s="1"/>
  <c r="F9" i="15"/>
  <c r="F25" i="15" s="1"/>
  <c r="D9" i="15"/>
  <c r="C9" i="15"/>
  <c r="C25" i="15" s="1"/>
  <c r="B9" i="15"/>
  <c r="B25" i="15" s="1"/>
  <c r="K8" i="15"/>
  <c r="K24" i="15" s="1"/>
  <c r="J8" i="15"/>
  <c r="J24" i="15" s="1"/>
  <c r="I8" i="15"/>
  <c r="I24" i="15" s="1"/>
  <c r="H8" i="15"/>
  <c r="H24" i="15" s="1"/>
  <c r="L24" i="15" s="1"/>
  <c r="G8" i="15"/>
  <c r="G24" i="15" s="1"/>
  <c r="F8" i="15"/>
  <c r="D8" i="15"/>
  <c r="E8" i="15" s="1"/>
  <c r="E24" i="15" s="1"/>
  <c r="C8" i="15"/>
  <c r="C24" i="15" s="1"/>
  <c r="B8" i="15"/>
  <c r="B24" i="15" s="1"/>
  <c r="U4" i="1"/>
  <c r="T4" i="1"/>
  <c r="S4" i="1"/>
  <c r="R4" i="1"/>
  <c r="Q4" i="1"/>
  <c r="N4" i="1"/>
  <c r="L4" i="1"/>
  <c r="W32" i="15" l="1"/>
  <c r="Z26" i="15" s="1"/>
  <c r="Z27" i="15" s="1"/>
  <c r="E9" i="15"/>
  <c r="E25" i="15" s="1"/>
  <c r="M9" i="15"/>
  <c r="Z28" i="15"/>
  <c r="M8" i="15"/>
  <c r="Q8" i="15" s="1"/>
  <c r="R8" i="15" s="1"/>
  <c r="W16" i="15"/>
  <c r="Z9" i="15" s="1"/>
  <c r="Z10" i="15" s="1"/>
  <c r="R16" i="15"/>
  <c r="M11" i="15"/>
  <c r="M15" i="15"/>
  <c r="L12" i="15"/>
  <c r="M13" i="15"/>
  <c r="M12" i="15"/>
  <c r="M14" i="15"/>
  <c r="P9" i="15"/>
  <c r="P10" i="15" s="1"/>
  <c r="P11" i="15" s="1"/>
  <c r="P12" i="15" s="1"/>
  <c r="P13" i="15" s="1"/>
  <c r="P14" i="15" s="1"/>
  <c r="P15" i="15" s="1"/>
  <c r="P16" i="15" s="1"/>
  <c r="L27" i="15"/>
  <c r="M10" i="15"/>
  <c r="E15" i="15"/>
  <c r="E31" i="15" s="1"/>
  <c r="H25" i="15"/>
  <c r="L25" i="15" s="1"/>
  <c r="L26" i="15"/>
  <c r="D29" i="15"/>
  <c r="D31" i="15"/>
  <c r="F29" i="15"/>
  <c r="F67" i="15"/>
  <c r="F27" i="15"/>
  <c r="W15" i="15"/>
  <c r="E12" i="15"/>
  <c r="E28" i="15" s="1"/>
  <c r="E14" i="15"/>
  <c r="E30" i="15" s="1"/>
  <c r="D28" i="15"/>
  <c r="D24" i="15"/>
  <c r="H28" i="15"/>
  <c r="L28" i="15" s="1"/>
  <c r="F68" i="15"/>
  <c r="L10" i="15"/>
  <c r="D30" i="15"/>
  <c r="L14" i="15"/>
  <c r="H30" i="15"/>
  <c r="L30" i="15" s="1"/>
  <c r="L11" i="15"/>
  <c r="F65" i="15"/>
  <c r="J28" i="15"/>
  <c r="E13" i="15"/>
  <c r="E29" i="15" s="1"/>
  <c r="E62" i="15"/>
  <c r="F63" i="15"/>
  <c r="G64" i="15" s="1"/>
  <c r="H64" i="15" s="1"/>
  <c r="F24" i="15"/>
  <c r="J31" i="15"/>
  <c r="F66" i="15"/>
  <c r="H32" i="15"/>
  <c r="L32" i="15" s="1"/>
  <c r="L16" i="15"/>
  <c r="J32" i="15"/>
  <c r="F64" i="15"/>
  <c r="J30" i="15"/>
  <c r="G63" i="15"/>
  <c r="H63" i="15" s="1"/>
  <c r="F69" i="15"/>
  <c r="L15" i="15"/>
  <c r="H31" i="15"/>
  <c r="L31" i="15" s="1"/>
  <c r="F70" i="15"/>
  <c r="J29" i="15"/>
  <c r="J27" i="15"/>
  <c r="L8" i="15"/>
  <c r="H29" i="15"/>
  <c r="L29" i="15" s="1"/>
  <c r="L13" i="15"/>
  <c r="G62" i="15"/>
  <c r="H62" i="15" s="1"/>
  <c r="D25" i="15"/>
  <c r="E10" i="15"/>
  <c r="E26" i="15" s="1"/>
  <c r="E11" i="15"/>
  <c r="E27" i="15" s="1"/>
  <c r="Q11" i="15" l="1"/>
  <c r="R11" i="15" s="1"/>
  <c r="Q9" i="15"/>
  <c r="R9" i="15" s="1"/>
  <c r="Q14" i="15"/>
  <c r="R14" i="15" s="1"/>
  <c r="Q15" i="15"/>
  <c r="R15" i="15" s="1"/>
  <c r="Q12" i="15"/>
  <c r="R12" i="15" s="1"/>
  <c r="Q13" i="15"/>
  <c r="R13" i="15" s="1"/>
  <c r="Q10" i="15"/>
  <c r="R10" i="15" s="1"/>
  <c r="S10" i="15" s="1"/>
  <c r="Z11" i="15"/>
  <c r="W31" i="15"/>
  <c r="G65" i="15"/>
  <c r="H65" i="15" s="1"/>
  <c r="G70" i="15"/>
  <c r="H70" i="15" s="1"/>
  <c r="G67" i="15"/>
  <c r="H67" i="15" s="1"/>
  <c r="G69" i="15"/>
  <c r="H69" i="15" s="1"/>
  <c r="G68" i="15"/>
  <c r="H68" i="15" s="1"/>
  <c r="G66" i="15"/>
  <c r="H66" i="15" s="1"/>
  <c r="S13" i="15" l="1"/>
  <c r="T13" i="15" s="1"/>
  <c r="S14" i="15"/>
  <c r="T14" i="15" s="1"/>
  <c r="T10" i="15"/>
  <c r="S12" i="15"/>
  <c r="T12" i="15" s="1"/>
  <c r="S15" i="15"/>
  <c r="T15" i="15" s="1"/>
  <c r="S16" i="15"/>
  <c r="T16" i="15" s="1"/>
  <c r="S11" i="15"/>
  <c r="T11" i="15" s="1"/>
  <c r="S8" i="15"/>
  <c r="S9" i="15"/>
  <c r="T9" i="15" s="1"/>
  <c r="T8" i="15" l="1"/>
  <c r="U8" i="15" s="1"/>
  <c r="V8" i="15" s="1"/>
  <c r="V9" i="15" s="1"/>
  <c r="U10" i="15" s="1"/>
  <c r="V10" i="15" s="1"/>
  <c r="U11" i="15" s="1"/>
  <c r="V11" i="15" s="1"/>
  <c r="U12" i="15" s="1"/>
  <c r="V12" i="15" s="1"/>
  <c r="U13" i="15" s="1"/>
  <c r="V13" i="15" s="1"/>
  <c r="U14" i="15" s="1"/>
  <c r="V14" i="15" l="1"/>
  <c r="U15" i="15" s="1"/>
  <c r="V15" i="15" l="1"/>
  <c r="U16" i="15" s="1"/>
  <c r="V16" i="15" l="1"/>
  <c r="Z8" i="15"/>
  <c r="Z13" i="15" s="1"/>
  <c r="I34" i="1" l="1"/>
  <c r="Y8" i="11" l="1"/>
  <c r="AB10" i="11"/>
  <c r="X8" i="14"/>
  <c r="U8" i="14"/>
  <c r="L8" i="11"/>
  <c r="K5" i="1"/>
  <c r="K6" i="1"/>
  <c r="K7" i="1"/>
  <c r="K8" i="1"/>
  <c r="K9" i="1"/>
  <c r="K10" i="1"/>
  <c r="K11" i="1"/>
  <c r="K12" i="1"/>
  <c r="K13" i="1"/>
  <c r="K14" i="1"/>
  <c r="K15" i="1"/>
  <c r="K16" i="1"/>
  <c r="K17" i="1"/>
  <c r="P4" i="1"/>
  <c r="L24" i="11" l="1"/>
  <c r="X11" i="9"/>
  <c r="K4" i="1"/>
  <c r="AB9" i="11"/>
  <c r="Y9" i="11"/>
  <c r="W9" i="11"/>
  <c r="X9" i="14"/>
  <c r="R25" i="11"/>
  <c r="R26" i="11"/>
  <c r="R27" i="11"/>
  <c r="R28" i="11"/>
  <c r="R29" i="11"/>
  <c r="R30" i="11"/>
  <c r="R31" i="11"/>
  <c r="R32" i="11"/>
  <c r="L16" i="14"/>
  <c r="L15" i="14"/>
  <c r="L14" i="14"/>
  <c r="L13" i="14"/>
  <c r="L29" i="14" s="1"/>
  <c r="L12" i="14"/>
  <c r="L11" i="14"/>
  <c r="L10" i="14"/>
  <c r="L9" i="14"/>
  <c r="L8" i="14"/>
  <c r="L24" i="14" s="1"/>
  <c r="L26" i="14"/>
  <c r="L25" i="14"/>
  <c r="D70" i="14"/>
  <c r="F70" i="14" s="1"/>
  <c r="E69" i="14"/>
  <c r="D69" i="14"/>
  <c r="F69" i="14" s="1"/>
  <c r="E68" i="14"/>
  <c r="D68" i="14"/>
  <c r="E67" i="14" s="1"/>
  <c r="D67" i="14"/>
  <c r="E66" i="14" s="1"/>
  <c r="D66" i="14"/>
  <c r="F66" i="14" s="1"/>
  <c r="E65" i="14"/>
  <c r="D65" i="14"/>
  <c r="E64" i="14" s="1"/>
  <c r="F64" i="14"/>
  <c r="D64" i="14"/>
  <c r="E63" i="14"/>
  <c r="D63" i="14"/>
  <c r="F63" i="14" s="1"/>
  <c r="F62" i="14"/>
  <c r="E62" i="14"/>
  <c r="F61" i="14"/>
  <c r="E61" i="14"/>
  <c r="F60" i="14"/>
  <c r="E60" i="14"/>
  <c r="F59" i="14"/>
  <c r="E59" i="14"/>
  <c r="F58" i="14"/>
  <c r="E58" i="14"/>
  <c r="F57" i="14"/>
  <c r="E57" i="14"/>
  <c r="F56" i="14"/>
  <c r="E56" i="14"/>
  <c r="F55" i="14"/>
  <c r="E55" i="14"/>
  <c r="F54" i="14"/>
  <c r="E54" i="14"/>
  <c r="F53" i="14"/>
  <c r="E53" i="14"/>
  <c r="F52" i="14"/>
  <c r="E52" i="14"/>
  <c r="F51" i="14"/>
  <c r="E51" i="14"/>
  <c r="F50" i="14"/>
  <c r="E50" i="14"/>
  <c r="F49" i="14"/>
  <c r="E49" i="14"/>
  <c r="F48" i="14"/>
  <c r="E48" i="14"/>
  <c r="F47" i="14"/>
  <c r="E47" i="14"/>
  <c r="F46" i="14"/>
  <c r="E46" i="14"/>
  <c r="F45" i="14"/>
  <c r="E45" i="14"/>
  <c r="F44" i="14"/>
  <c r="E44" i="14"/>
  <c r="F43" i="14"/>
  <c r="E43" i="14"/>
  <c r="F42" i="14"/>
  <c r="E42" i="14"/>
  <c r="F41" i="14"/>
  <c r="G63" i="14" s="1"/>
  <c r="H63" i="14" s="1"/>
  <c r="E41" i="14"/>
  <c r="E40" i="14"/>
  <c r="W32" i="14"/>
  <c r="L32" i="14"/>
  <c r="K32" i="14"/>
  <c r="J32" i="14"/>
  <c r="I32" i="14"/>
  <c r="E32" i="14"/>
  <c r="D32" i="14"/>
  <c r="C32" i="14"/>
  <c r="B32" i="14"/>
  <c r="AB31" i="14"/>
  <c r="L31" i="14"/>
  <c r="K31" i="14"/>
  <c r="F31" i="14"/>
  <c r="E31" i="14"/>
  <c r="D31" i="14"/>
  <c r="AA31" i="14" s="1"/>
  <c r="C31" i="14"/>
  <c r="B31" i="14"/>
  <c r="AB30" i="14"/>
  <c r="L30" i="14"/>
  <c r="K30" i="14"/>
  <c r="G30" i="14"/>
  <c r="F30" i="14"/>
  <c r="D30" i="14"/>
  <c r="C30" i="14"/>
  <c r="AB29" i="14"/>
  <c r="K29" i="14"/>
  <c r="H29" i="14"/>
  <c r="G29" i="14"/>
  <c r="F29" i="14"/>
  <c r="D29" i="14"/>
  <c r="W29" i="14" s="1"/>
  <c r="B29" i="14"/>
  <c r="K28" i="14"/>
  <c r="I28" i="14"/>
  <c r="H28" i="14"/>
  <c r="M28" i="14" s="1"/>
  <c r="G28" i="14"/>
  <c r="F28" i="14"/>
  <c r="C28" i="14"/>
  <c r="B28" i="14"/>
  <c r="K27" i="14"/>
  <c r="J27" i="14"/>
  <c r="I27" i="14"/>
  <c r="H27" i="14"/>
  <c r="M27" i="14" s="1"/>
  <c r="G27" i="14"/>
  <c r="F27" i="14"/>
  <c r="D27" i="14"/>
  <c r="C27" i="14"/>
  <c r="K26" i="14"/>
  <c r="I26" i="14"/>
  <c r="H26" i="14"/>
  <c r="M26" i="14" s="1"/>
  <c r="G26" i="14"/>
  <c r="D26" i="14"/>
  <c r="K25" i="14"/>
  <c r="I25" i="14"/>
  <c r="H25" i="14"/>
  <c r="M25" i="14" s="1"/>
  <c r="F25" i="14"/>
  <c r="AB25" i="14" s="1"/>
  <c r="K24" i="14"/>
  <c r="J24" i="14"/>
  <c r="I24" i="14"/>
  <c r="H24" i="14"/>
  <c r="M24" i="14" s="1"/>
  <c r="F24" i="14"/>
  <c r="AB24" i="14" s="1"/>
  <c r="W16" i="14"/>
  <c r="S16" i="14"/>
  <c r="J16" i="14"/>
  <c r="I16" i="14"/>
  <c r="M16" i="14" s="1"/>
  <c r="H16" i="14"/>
  <c r="H32" i="14" s="1"/>
  <c r="M32" i="14" s="1"/>
  <c r="G16" i="14"/>
  <c r="G32" i="14" s="1"/>
  <c r="F16" i="14"/>
  <c r="N16" i="14" s="1"/>
  <c r="D16" i="14"/>
  <c r="C16" i="14"/>
  <c r="B16" i="14"/>
  <c r="AB15" i="14"/>
  <c r="AA15" i="14"/>
  <c r="W15" i="14"/>
  <c r="S15" i="14"/>
  <c r="J15" i="14"/>
  <c r="J31" i="14" s="1"/>
  <c r="I15" i="14"/>
  <c r="I31" i="14" s="1"/>
  <c r="H15" i="14"/>
  <c r="M15" i="14" s="1"/>
  <c r="G15" i="14"/>
  <c r="G31" i="14" s="1"/>
  <c r="F15" i="14"/>
  <c r="E15" i="14"/>
  <c r="D15" i="14"/>
  <c r="C15" i="14"/>
  <c r="B15" i="14"/>
  <c r="AB14" i="14"/>
  <c r="W14" i="14"/>
  <c r="S14" i="14"/>
  <c r="J14" i="14"/>
  <c r="J30" i="14" s="1"/>
  <c r="I14" i="14"/>
  <c r="I30" i="14" s="1"/>
  <c r="H14" i="14"/>
  <c r="M14" i="14" s="1"/>
  <c r="G14" i="14"/>
  <c r="F14" i="14"/>
  <c r="D14" i="14"/>
  <c r="C14" i="14"/>
  <c r="B14" i="14"/>
  <c r="B30" i="14" s="1"/>
  <c r="AB13" i="14"/>
  <c r="W13" i="14"/>
  <c r="S13" i="14"/>
  <c r="J13" i="14"/>
  <c r="J29" i="14" s="1"/>
  <c r="I13" i="14"/>
  <c r="M13" i="14" s="1"/>
  <c r="H13" i="14"/>
  <c r="G13" i="14"/>
  <c r="F13" i="14"/>
  <c r="D13" i="14"/>
  <c r="C13" i="14"/>
  <c r="C29" i="14" s="1"/>
  <c r="B13" i="14"/>
  <c r="AB12" i="14"/>
  <c r="S12" i="14"/>
  <c r="M12" i="14"/>
  <c r="L28" i="14"/>
  <c r="J12" i="14"/>
  <c r="J28" i="14" s="1"/>
  <c r="I12" i="14"/>
  <c r="H12" i="14"/>
  <c r="G12" i="14"/>
  <c r="F12" i="14"/>
  <c r="D12" i="14"/>
  <c r="D28" i="14" s="1"/>
  <c r="C12" i="14"/>
  <c r="B12" i="14"/>
  <c r="S11" i="14"/>
  <c r="M11" i="14"/>
  <c r="J11" i="14"/>
  <c r="N11" i="14" s="1"/>
  <c r="I11" i="14"/>
  <c r="H11" i="14"/>
  <c r="G11" i="14"/>
  <c r="F11" i="14"/>
  <c r="D11" i="14"/>
  <c r="AB11" i="14" s="1"/>
  <c r="C11" i="14"/>
  <c r="B11" i="14"/>
  <c r="B27" i="14" s="1"/>
  <c r="AB10" i="14"/>
  <c r="S10" i="14"/>
  <c r="M10" i="14"/>
  <c r="J10" i="14"/>
  <c r="J26" i="14" s="1"/>
  <c r="I10" i="14"/>
  <c r="H10" i="14"/>
  <c r="G10" i="14"/>
  <c r="F10" i="14"/>
  <c r="F26" i="14" s="1"/>
  <c r="D10" i="14"/>
  <c r="E10" i="14" s="1"/>
  <c r="E26" i="14" s="1"/>
  <c r="C10" i="14"/>
  <c r="C26" i="14" s="1"/>
  <c r="B10" i="14"/>
  <c r="B26" i="14" s="1"/>
  <c r="S9" i="14"/>
  <c r="J9" i="14"/>
  <c r="J25" i="14" s="1"/>
  <c r="I9" i="14"/>
  <c r="H9" i="14"/>
  <c r="M9" i="14" s="1"/>
  <c r="G9" i="14"/>
  <c r="G25" i="14" s="1"/>
  <c r="F9" i="14"/>
  <c r="D9" i="14"/>
  <c r="D25" i="14" s="1"/>
  <c r="C9" i="14"/>
  <c r="C25" i="14" s="1"/>
  <c r="B9" i="14"/>
  <c r="B25" i="14" s="1"/>
  <c r="S8" i="14"/>
  <c r="J8" i="14"/>
  <c r="I8" i="14"/>
  <c r="H8" i="14"/>
  <c r="M8" i="14" s="1"/>
  <c r="G8" i="14"/>
  <c r="G24" i="14" s="1"/>
  <c r="F8" i="14"/>
  <c r="AB8" i="14" s="1"/>
  <c r="D8" i="14"/>
  <c r="D24" i="14" s="1"/>
  <c r="C8" i="14"/>
  <c r="C24" i="14" s="1"/>
  <c r="B8" i="14"/>
  <c r="B24" i="14" s="1"/>
  <c r="AB25" i="11"/>
  <c r="AB26" i="11"/>
  <c r="AB27" i="11"/>
  <c r="AB28" i="11"/>
  <c r="AB29" i="11"/>
  <c r="AB30" i="11"/>
  <c r="AB31" i="11"/>
  <c r="AB32" i="11"/>
  <c r="AB24" i="11"/>
  <c r="AA31" i="11"/>
  <c r="W25" i="11"/>
  <c r="W26" i="11"/>
  <c r="W27" i="11"/>
  <c r="W28" i="11"/>
  <c r="W29" i="11"/>
  <c r="W30" i="11"/>
  <c r="W31" i="11"/>
  <c r="W32" i="11"/>
  <c r="W24" i="11"/>
  <c r="W8" i="11"/>
  <c r="Q25" i="11"/>
  <c r="Q26" i="11"/>
  <c r="Q27" i="11"/>
  <c r="Q28" i="11"/>
  <c r="Q29" i="11"/>
  <c r="Q30" i="11"/>
  <c r="Q31" i="11"/>
  <c r="Q32" i="11"/>
  <c r="Q24" i="11"/>
  <c r="L25" i="11"/>
  <c r="L26" i="11"/>
  <c r="L27" i="11"/>
  <c r="L28" i="11"/>
  <c r="L29" i="11"/>
  <c r="L30" i="11"/>
  <c r="L31" i="11"/>
  <c r="L32" i="11"/>
  <c r="K25" i="11"/>
  <c r="K26" i="11"/>
  <c r="K27" i="11"/>
  <c r="K28" i="11"/>
  <c r="K29" i="11"/>
  <c r="K30" i="11"/>
  <c r="K31" i="11"/>
  <c r="K32" i="11"/>
  <c r="K24" i="11"/>
  <c r="I25" i="11"/>
  <c r="I26" i="11"/>
  <c r="I27" i="11"/>
  <c r="I28" i="11"/>
  <c r="I29" i="11"/>
  <c r="I30" i="11"/>
  <c r="I31" i="11"/>
  <c r="I32" i="11"/>
  <c r="I24" i="11"/>
  <c r="H25" i="11"/>
  <c r="H26" i="11"/>
  <c r="H27" i="11"/>
  <c r="H28" i="11"/>
  <c r="H29" i="11"/>
  <c r="H30" i="11"/>
  <c r="H31" i="11"/>
  <c r="H32" i="11"/>
  <c r="H24" i="11"/>
  <c r="G25" i="11"/>
  <c r="G26" i="11"/>
  <c r="G27" i="11"/>
  <c r="G28" i="11"/>
  <c r="G29" i="11"/>
  <c r="G30" i="11"/>
  <c r="G31" i="11"/>
  <c r="G32" i="11"/>
  <c r="G24" i="11"/>
  <c r="F25" i="11"/>
  <c r="F26" i="11"/>
  <c r="F27" i="11"/>
  <c r="F28" i="11"/>
  <c r="F29" i="11"/>
  <c r="F30" i="11"/>
  <c r="F31" i="11"/>
  <c r="F32" i="11"/>
  <c r="F24" i="11"/>
  <c r="E25" i="11"/>
  <c r="E26" i="11"/>
  <c r="E27" i="11"/>
  <c r="E28" i="11"/>
  <c r="E29" i="11"/>
  <c r="E30" i="11"/>
  <c r="E31" i="11"/>
  <c r="E32" i="11"/>
  <c r="E24" i="11"/>
  <c r="D25" i="11"/>
  <c r="D26" i="11"/>
  <c r="D27" i="11"/>
  <c r="D28" i="11"/>
  <c r="D29" i="11"/>
  <c r="D30" i="11"/>
  <c r="D31" i="11"/>
  <c r="D32" i="11"/>
  <c r="D24" i="11"/>
  <c r="C25" i="11"/>
  <c r="C26" i="11"/>
  <c r="C27" i="11"/>
  <c r="C28" i="11"/>
  <c r="C29" i="11"/>
  <c r="C30" i="11"/>
  <c r="C31" i="11"/>
  <c r="C32" i="11"/>
  <c r="C24" i="11"/>
  <c r="B27" i="11"/>
  <c r="G111" i="8"/>
  <c r="G109" i="8"/>
  <c r="G107" i="8"/>
  <c r="G106" i="8"/>
  <c r="G105" i="8"/>
  <c r="G104" i="8"/>
  <c r="G103" i="8"/>
  <c r="G102" i="8"/>
  <c r="G101" i="8"/>
  <c r="G97" i="8"/>
  <c r="G96" i="8"/>
  <c r="G95" i="8"/>
  <c r="S16" i="11" s="1"/>
  <c r="G94" i="8"/>
  <c r="G93" i="8"/>
  <c r="S14" i="11" s="1"/>
  <c r="G92" i="8"/>
  <c r="S13" i="11" s="1"/>
  <c r="G91" i="8"/>
  <c r="G90" i="8"/>
  <c r="G89" i="8"/>
  <c r="S10" i="11" s="1"/>
  <c r="G88" i="8"/>
  <c r="G87" i="8"/>
  <c r="S8" i="11"/>
  <c r="S9" i="11"/>
  <c r="S11" i="11"/>
  <c r="S12" i="11"/>
  <c r="S15" i="11"/>
  <c r="L16" i="11"/>
  <c r="L15" i="11"/>
  <c r="L14" i="11"/>
  <c r="L13" i="11"/>
  <c r="L12" i="11"/>
  <c r="L11" i="11"/>
  <c r="L10" i="11"/>
  <c r="L9" i="11"/>
  <c r="P9" i="11"/>
  <c r="P10" i="11"/>
  <c r="P11" i="11"/>
  <c r="P12" i="11"/>
  <c r="P13" i="11"/>
  <c r="P14" i="11"/>
  <c r="P15" i="11"/>
  <c r="P16" i="11"/>
  <c r="P8" i="11"/>
  <c r="I9" i="11"/>
  <c r="I10" i="11"/>
  <c r="I11" i="11"/>
  <c r="I12" i="11"/>
  <c r="I13" i="11"/>
  <c r="I14" i="11"/>
  <c r="I15" i="11"/>
  <c r="I16" i="11"/>
  <c r="I8" i="11"/>
  <c r="H9" i="11"/>
  <c r="H10" i="11"/>
  <c r="H11" i="11"/>
  <c r="H12" i="11"/>
  <c r="H13" i="11"/>
  <c r="H14" i="11"/>
  <c r="H15" i="11"/>
  <c r="H16" i="11"/>
  <c r="H8" i="11"/>
  <c r="G9" i="11"/>
  <c r="G10" i="11"/>
  <c r="G11" i="11"/>
  <c r="G12" i="11"/>
  <c r="G13" i="11"/>
  <c r="G14" i="11"/>
  <c r="G15" i="11"/>
  <c r="G16" i="11"/>
  <c r="G8" i="11"/>
  <c r="F9" i="11"/>
  <c r="F10" i="11"/>
  <c r="F11" i="11"/>
  <c r="F12" i="11"/>
  <c r="AB12" i="11" s="1"/>
  <c r="F13" i="11"/>
  <c r="AB13" i="11" s="1"/>
  <c r="F14" i="11"/>
  <c r="AB14" i="11" s="1"/>
  <c r="F15" i="11"/>
  <c r="F16" i="11"/>
  <c r="F8" i="11"/>
  <c r="AB8" i="11" s="1"/>
  <c r="D9" i="11"/>
  <c r="E9" i="11" s="1"/>
  <c r="D10" i="11"/>
  <c r="W10" i="11" s="1"/>
  <c r="D11" i="11"/>
  <c r="W11" i="11" s="1"/>
  <c r="D12" i="11"/>
  <c r="W12" i="11" s="1"/>
  <c r="D13" i="11"/>
  <c r="W13" i="11" s="1"/>
  <c r="D14" i="11"/>
  <c r="W14" i="11" s="1"/>
  <c r="D15" i="11"/>
  <c r="AB15" i="11" s="1"/>
  <c r="D16" i="11"/>
  <c r="AB16" i="11" s="1"/>
  <c r="D8" i="11"/>
  <c r="E8" i="11" s="1"/>
  <c r="C9" i="11"/>
  <c r="C10" i="11"/>
  <c r="C11" i="11"/>
  <c r="C12" i="11"/>
  <c r="C13" i="11"/>
  <c r="C14" i="11"/>
  <c r="C15" i="11"/>
  <c r="C16" i="11"/>
  <c r="C8" i="11"/>
  <c r="B9" i="11"/>
  <c r="B25" i="11" s="1"/>
  <c r="B10" i="11"/>
  <c r="B26" i="11" s="1"/>
  <c r="B11" i="11"/>
  <c r="B12" i="11"/>
  <c r="B28" i="11" s="1"/>
  <c r="B13" i="11"/>
  <c r="B29" i="11" s="1"/>
  <c r="B14" i="11"/>
  <c r="B30" i="11" s="1"/>
  <c r="B15" i="11"/>
  <c r="B31" i="11" s="1"/>
  <c r="B16" i="11"/>
  <c r="B32" i="11" s="1"/>
  <c r="B8" i="11"/>
  <c r="B24" i="11" s="1"/>
  <c r="D70" i="11"/>
  <c r="E69" i="11" s="1"/>
  <c r="D69" i="11"/>
  <c r="E68" i="11" s="1"/>
  <c r="D68" i="11"/>
  <c r="E67" i="11" s="1"/>
  <c r="D67" i="11"/>
  <c r="E66" i="11"/>
  <c r="D66" i="11"/>
  <c r="D65" i="11"/>
  <c r="D64" i="11"/>
  <c r="E63" i="11" s="1"/>
  <c r="D63" i="11"/>
  <c r="F63" i="11" s="1"/>
  <c r="F62" i="11"/>
  <c r="F61" i="11"/>
  <c r="E61" i="11"/>
  <c r="F60" i="11"/>
  <c r="E60" i="11"/>
  <c r="F59" i="11"/>
  <c r="E59" i="11"/>
  <c r="F58" i="11"/>
  <c r="E58" i="11"/>
  <c r="F57" i="11"/>
  <c r="E57" i="11"/>
  <c r="F56" i="11"/>
  <c r="E56" i="11"/>
  <c r="F55" i="11"/>
  <c r="E55" i="11"/>
  <c r="F54" i="11"/>
  <c r="E54" i="11"/>
  <c r="F53" i="11"/>
  <c r="E53" i="11"/>
  <c r="F52" i="11"/>
  <c r="E52" i="11"/>
  <c r="F51" i="11"/>
  <c r="E51" i="11"/>
  <c r="F50" i="11"/>
  <c r="E50" i="11"/>
  <c r="F49" i="11"/>
  <c r="E49" i="11"/>
  <c r="F48" i="11"/>
  <c r="E48" i="11"/>
  <c r="F47" i="11"/>
  <c r="E47" i="11"/>
  <c r="F46" i="11"/>
  <c r="E46" i="11"/>
  <c r="F45" i="11"/>
  <c r="E45" i="11"/>
  <c r="F44" i="11"/>
  <c r="E44" i="11"/>
  <c r="F43" i="11"/>
  <c r="E43" i="11"/>
  <c r="F42" i="11"/>
  <c r="E42" i="11"/>
  <c r="F41" i="11"/>
  <c r="E41" i="11"/>
  <c r="E40" i="11"/>
  <c r="C3" i="13"/>
  <c r="C4" i="13"/>
  <c r="C5" i="13"/>
  <c r="C6" i="13"/>
  <c r="C7" i="13"/>
  <c r="C8" i="13"/>
  <c r="C9" i="13"/>
  <c r="C10" i="13"/>
  <c r="C11" i="13"/>
  <c r="C12" i="13"/>
  <c r="C13" i="13"/>
  <c r="C14" i="13"/>
  <c r="C15" i="13"/>
  <c r="C16" i="13"/>
  <c r="C17" i="13"/>
  <c r="C18" i="13"/>
  <c r="C19" i="13"/>
  <c r="C20" i="13"/>
  <c r="C21" i="13"/>
  <c r="C22" i="13"/>
  <c r="C23" i="13"/>
  <c r="C30" i="13"/>
  <c r="C2" i="13"/>
  <c r="D32" i="13"/>
  <c r="C27" i="13"/>
  <c r="C25" i="13"/>
  <c r="D25" i="13"/>
  <c r="D3" i="13"/>
  <c r="D4" i="13"/>
  <c r="D5" i="13"/>
  <c r="D6" i="13"/>
  <c r="D7" i="13"/>
  <c r="D8" i="13"/>
  <c r="D9" i="13"/>
  <c r="D10" i="13"/>
  <c r="D11" i="13"/>
  <c r="D12" i="13"/>
  <c r="D13" i="13"/>
  <c r="D14" i="13"/>
  <c r="D15" i="13"/>
  <c r="D16" i="13"/>
  <c r="D17" i="13"/>
  <c r="D18" i="13"/>
  <c r="D19" i="13"/>
  <c r="D20" i="13"/>
  <c r="D21" i="13"/>
  <c r="D22" i="13"/>
  <c r="D23" i="13"/>
  <c r="N9" i="14" l="1"/>
  <c r="U9" i="14" s="1"/>
  <c r="N10" i="14"/>
  <c r="O10" i="14" s="1"/>
  <c r="N14" i="14"/>
  <c r="O14" i="14" s="1"/>
  <c r="R14" i="14" s="1"/>
  <c r="T14" i="14" s="1"/>
  <c r="N8" i="14"/>
  <c r="Z8" i="14" s="1"/>
  <c r="U11" i="14"/>
  <c r="O11" i="14"/>
  <c r="R11" i="14" s="1"/>
  <c r="T11" i="14" s="1"/>
  <c r="O16" i="14"/>
  <c r="R16" i="14" s="1"/>
  <c r="T16" i="14" s="1"/>
  <c r="U16" i="14"/>
  <c r="U14" i="14"/>
  <c r="W24" i="14"/>
  <c r="W25" i="14"/>
  <c r="AB26" i="14"/>
  <c r="W28" i="14"/>
  <c r="G64" i="14"/>
  <c r="H64" i="14" s="1"/>
  <c r="AB28" i="14"/>
  <c r="G66" i="14"/>
  <c r="H66" i="14" s="1"/>
  <c r="E13" i="14"/>
  <c r="E29" i="14" s="1"/>
  <c r="I29" i="14"/>
  <c r="M29" i="14" s="1"/>
  <c r="H30" i="14"/>
  <c r="M30" i="14" s="1"/>
  <c r="F68" i="14"/>
  <c r="G69" i="14" s="1"/>
  <c r="H69" i="14" s="1"/>
  <c r="F67" i="14"/>
  <c r="R10" i="14"/>
  <c r="T10" i="14" s="1"/>
  <c r="N13" i="14"/>
  <c r="F65" i="14"/>
  <c r="G67" i="14" s="1"/>
  <c r="H67" i="14" s="1"/>
  <c r="W27" i="14"/>
  <c r="W8" i="14"/>
  <c r="U10" i="14"/>
  <c r="AB16" i="14"/>
  <c r="W10" i="14"/>
  <c r="E14" i="14"/>
  <c r="E30" i="14" s="1"/>
  <c r="L27" i="14"/>
  <c r="W30" i="14"/>
  <c r="H31" i="14"/>
  <c r="M31" i="14" s="1"/>
  <c r="F32" i="14"/>
  <c r="N12" i="14"/>
  <c r="G62" i="14"/>
  <c r="H62" i="14" s="1"/>
  <c r="E8" i="14"/>
  <c r="E24" i="14" s="1"/>
  <c r="W26" i="14"/>
  <c r="E11" i="14"/>
  <c r="E27" i="14" s="1"/>
  <c r="N15" i="14"/>
  <c r="G65" i="14"/>
  <c r="H65" i="14" s="1"/>
  <c r="E12" i="14"/>
  <c r="E28" i="14" s="1"/>
  <c r="W11" i="14"/>
  <c r="AB27" i="14"/>
  <c r="W31" i="14"/>
  <c r="O9" i="14"/>
  <c r="R9" i="14" s="1"/>
  <c r="T9" i="14" s="1"/>
  <c r="E9" i="14"/>
  <c r="E25" i="14" s="1"/>
  <c r="W9" i="14"/>
  <c r="W12" i="14"/>
  <c r="AA15" i="11"/>
  <c r="W15" i="11"/>
  <c r="AB11" i="11"/>
  <c r="W16" i="11"/>
  <c r="E12" i="11"/>
  <c r="M8" i="11"/>
  <c r="E10" i="11"/>
  <c r="E15" i="11"/>
  <c r="E14" i="11"/>
  <c r="E62" i="11"/>
  <c r="E13" i="11"/>
  <c r="F68" i="11"/>
  <c r="E11" i="11"/>
  <c r="F65" i="11"/>
  <c r="F70" i="11"/>
  <c r="E64" i="11"/>
  <c r="F66" i="11"/>
  <c r="G64" i="11"/>
  <c r="H64" i="11" s="1"/>
  <c r="F67" i="11"/>
  <c r="G63" i="11"/>
  <c r="H63" i="11" s="1"/>
  <c r="F69" i="11"/>
  <c r="G62" i="11"/>
  <c r="H62" i="11" s="1"/>
  <c r="E65" i="11"/>
  <c r="F64" i="11"/>
  <c r="G65" i="11" s="1"/>
  <c r="H65" i="11" s="1"/>
  <c r="C31" i="13"/>
  <c r="D24" i="13"/>
  <c r="C29" i="13"/>
  <c r="C26" i="13"/>
  <c r="C28" i="13"/>
  <c r="E26" i="13"/>
  <c r="F26" i="13" s="1"/>
  <c r="E25" i="13"/>
  <c r="D30" i="13"/>
  <c r="C24" i="13"/>
  <c r="D26" i="13"/>
  <c r="E27" i="13" s="1"/>
  <c r="D29" i="13"/>
  <c r="D28" i="13"/>
  <c r="D27" i="13"/>
  <c r="D31" i="13"/>
  <c r="P26" i="15" l="1"/>
  <c r="Q26" i="15" s="1"/>
  <c r="R26" i="15" s="1"/>
  <c r="Q26" i="14"/>
  <c r="N26" i="14" s="1"/>
  <c r="P27" i="15"/>
  <c r="M27" i="15" s="1"/>
  <c r="Q27" i="15" s="1"/>
  <c r="R27" i="15" s="1"/>
  <c r="Q27" i="14"/>
  <c r="N27" i="14" s="1"/>
  <c r="Q24" i="15"/>
  <c r="R24" i="15" s="1"/>
  <c r="S24" i="15" s="1"/>
  <c r="T24" i="15" s="1"/>
  <c r="U24" i="15" s="1"/>
  <c r="V24" i="15" s="1"/>
  <c r="Q24" i="14"/>
  <c r="N24" i="14" s="1"/>
  <c r="U24" i="14" s="1"/>
  <c r="X24" i="14" s="1"/>
  <c r="Y24" i="14" s="1"/>
  <c r="Q25" i="14"/>
  <c r="N25" i="14" s="1"/>
  <c r="U25" i="14" s="1"/>
  <c r="P25" i="15"/>
  <c r="M25" i="15" s="1"/>
  <c r="Q25" i="15" s="1"/>
  <c r="R25" i="15" s="1"/>
  <c r="O8" i="14"/>
  <c r="R8" i="14" s="1"/>
  <c r="T8" i="14" s="1"/>
  <c r="V9" i="14"/>
  <c r="G70" i="14"/>
  <c r="H70" i="14" s="1"/>
  <c r="X11" i="14"/>
  <c r="Y11" i="14" s="1"/>
  <c r="AC11" i="14" s="1"/>
  <c r="V11" i="14"/>
  <c r="U12" i="14"/>
  <c r="O12" i="14"/>
  <c r="R12" i="14" s="1"/>
  <c r="T12" i="14" s="1"/>
  <c r="U13" i="14"/>
  <c r="O13" i="14"/>
  <c r="R13" i="14" s="1"/>
  <c r="T13" i="14" s="1"/>
  <c r="G68" i="14"/>
  <c r="H68" i="14" s="1"/>
  <c r="X10" i="14"/>
  <c r="Y10" i="14" s="1"/>
  <c r="AC10" i="14" s="1"/>
  <c r="V10" i="14"/>
  <c r="AB32" i="14"/>
  <c r="AC8" i="14"/>
  <c r="X14" i="14"/>
  <c r="Y14" i="14" s="1"/>
  <c r="AC14" i="14" s="1"/>
  <c r="V14" i="14"/>
  <c r="X16" i="14"/>
  <c r="Y16" i="14" s="1"/>
  <c r="AC16" i="14" s="1"/>
  <c r="O15" i="14"/>
  <c r="R15" i="14" s="1"/>
  <c r="T15" i="14" s="1"/>
  <c r="U15" i="14"/>
  <c r="V16" i="14" s="1"/>
  <c r="Y9" i="14"/>
  <c r="G70" i="11"/>
  <c r="H70" i="11" s="1"/>
  <c r="G67" i="11"/>
  <c r="H67" i="11" s="1"/>
  <c r="G69" i="11"/>
  <c r="H69" i="11" s="1"/>
  <c r="G66" i="11"/>
  <c r="H66" i="11" s="1"/>
  <c r="G68" i="11"/>
  <c r="H68" i="11" s="1"/>
  <c r="E28" i="13"/>
  <c r="F28" i="13" s="1"/>
  <c r="E31" i="13"/>
  <c r="F31" i="13" s="1"/>
  <c r="E30" i="13"/>
  <c r="F30" i="13" s="1"/>
  <c r="E32" i="13"/>
  <c r="F32" i="13" s="1"/>
  <c r="E29" i="13"/>
  <c r="F29" i="13" s="1"/>
  <c r="S25" i="15" l="1"/>
  <c r="T25" i="15" s="1"/>
  <c r="P29" i="15"/>
  <c r="M29" i="15" s="1"/>
  <c r="Q29" i="15" s="1"/>
  <c r="R29" i="15" s="1"/>
  <c r="Q29" i="14"/>
  <c r="N29" i="14" s="1"/>
  <c r="Q30" i="14"/>
  <c r="N30" i="14" s="1"/>
  <c r="P30" i="15"/>
  <c r="M30" i="15" s="1"/>
  <c r="Q30" i="15" s="1"/>
  <c r="R30" i="15" s="1"/>
  <c r="O25" i="14"/>
  <c r="R25" i="14" s="1"/>
  <c r="T25" i="14" s="1"/>
  <c r="O24" i="14"/>
  <c r="S27" i="15"/>
  <c r="T27" i="15" s="1"/>
  <c r="Q32" i="14"/>
  <c r="N32" i="14" s="1"/>
  <c r="O32" i="14" s="1"/>
  <c r="P32" i="15"/>
  <c r="P28" i="15"/>
  <c r="M28" i="15" s="1"/>
  <c r="Q28" i="15" s="1"/>
  <c r="R28" i="15" s="1"/>
  <c r="S28" i="15" s="1"/>
  <c r="T28" i="15" s="1"/>
  <c r="Q28" i="14"/>
  <c r="N28" i="14" s="1"/>
  <c r="O26" i="14"/>
  <c r="R26" i="14" s="1"/>
  <c r="T26" i="14" s="1"/>
  <c r="U26" i="14"/>
  <c r="P31" i="15"/>
  <c r="M31" i="15" s="1"/>
  <c r="Q31" i="15" s="1"/>
  <c r="R31" i="15" s="1"/>
  <c r="Q31" i="14"/>
  <c r="N31" i="14" s="1"/>
  <c r="S26" i="15"/>
  <c r="T26" i="15" s="1"/>
  <c r="R24" i="14"/>
  <c r="T24" i="14" s="1"/>
  <c r="X13" i="14"/>
  <c r="Y13" i="14" s="1"/>
  <c r="AC13" i="14" s="1"/>
  <c r="V13" i="14"/>
  <c r="Z9" i="14"/>
  <c r="Z10" i="14" s="1"/>
  <c r="Z11" i="14" s="1"/>
  <c r="AC9" i="14"/>
  <c r="Z24" i="14"/>
  <c r="AC24" i="14"/>
  <c r="V15" i="14"/>
  <c r="X15" i="14"/>
  <c r="Y15" i="14" s="1"/>
  <c r="AC15" i="14" s="1"/>
  <c r="X25" i="14"/>
  <c r="Y25" i="14" s="1"/>
  <c r="V25" i="14"/>
  <c r="V12" i="14"/>
  <c r="X12" i="14"/>
  <c r="Y12" i="14" s="1"/>
  <c r="AC12" i="14" s="1"/>
  <c r="U27" i="14"/>
  <c r="O27" i="14"/>
  <c r="R27" i="14" s="1"/>
  <c r="M32" i="11"/>
  <c r="M31" i="11"/>
  <c r="M30" i="11"/>
  <c r="M29" i="11"/>
  <c r="M28" i="11"/>
  <c r="M27" i="11"/>
  <c r="M26" i="11"/>
  <c r="M25" i="11"/>
  <c r="M24" i="11"/>
  <c r="J16" i="11"/>
  <c r="J32" i="11" s="1"/>
  <c r="J15" i="11"/>
  <c r="J31" i="11" s="1"/>
  <c r="J14" i="11"/>
  <c r="J30" i="11" s="1"/>
  <c r="J13" i="11"/>
  <c r="J29" i="11" s="1"/>
  <c r="J12" i="11"/>
  <c r="J28" i="11" s="1"/>
  <c r="J11" i="11"/>
  <c r="J27" i="11" s="1"/>
  <c r="J10" i="11"/>
  <c r="J26" i="11" s="1"/>
  <c r="J9" i="11"/>
  <c r="J25" i="11" s="1"/>
  <c r="J8" i="11"/>
  <c r="J24" i="11" s="1"/>
  <c r="G33" i="1"/>
  <c r="AA14" i="9"/>
  <c r="S3" i="1"/>
  <c r="D28" i="1"/>
  <c r="D27" i="1"/>
  <c r="AC9" i="9"/>
  <c r="AC8" i="9"/>
  <c r="H6" i="9"/>
  <c r="H7" i="9"/>
  <c r="H8" i="9"/>
  <c r="H9" i="9"/>
  <c r="H10" i="9"/>
  <c r="H11" i="9"/>
  <c r="H12" i="9"/>
  <c r="H13" i="9"/>
  <c r="H14" i="9"/>
  <c r="H15" i="9"/>
  <c r="H16" i="9"/>
  <c r="H17" i="9"/>
  <c r="H18" i="9"/>
  <c r="H19" i="9"/>
  <c r="H20" i="9"/>
  <c r="H21" i="9"/>
  <c r="H22" i="9"/>
  <c r="H23" i="9"/>
  <c r="H24" i="9"/>
  <c r="H25" i="9"/>
  <c r="H26" i="9"/>
  <c r="H27" i="9"/>
  <c r="H28" i="9"/>
  <c r="H29" i="9"/>
  <c r="H30" i="9"/>
  <c r="H31" i="9"/>
  <c r="H32" i="9"/>
  <c r="H33" i="9"/>
  <c r="H34" i="9"/>
  <c r="H35" i="9"/>
  <c r="H36" i="9"/>
  <c r="H37" i="9"/>
  <c r="H38" i="9"/>
  <c r="H39" i="9"/>
  <c r="H40" i="9"/>
  <c r="H41" i="9"/>
  <c r="H42" i="9"/>
  <c r="H43" i="9"/>
  <c r="H44" i="9"/>
  <c r="E6" i="9"/>
  <c r="E7" i="9"/>
  <c r="E8" i="9"/>
  <c r="E9" i="9"/>
  <c r="E10" i="9"/>
  <c r="E11" i="9"/>
  <c r="E12" i="9"/>
  <c r="E13" i="9"/>
  <c r="E14" i="9"/>
  <c r="E15" i="9"/>
  <c r="E16" i="9"/>
  <c r="E17" i="9"/>
  <c r="E18" i="9"/>
  <c r="E19" i="9"/>
  <c r="E20" i="9"/>
  <c r="E21" i="9"/>
  <c r="E22" i="9"/>
  <c r="E23" i="9"/>
  <c r="E24" i="9"/>
  <c r="E25" i="9"/>
  <c r="E26" i="9"/>
  <c r="E27" i="9"/>
  <c r="E28" i="9"/>
  <c r="E29" i="9"/>
  <c r="E30" i="9"/>
  <c r="E31" i="9"/>
  <c r="E32" i="9"/>
  <c r="E33" i="9"/>
  <c r="E34" i="9"/>
  <c r="E35" i="9"/>
  <c r="E36" i="9"/>
  <c r="E37" i="9"/>
  <c r="E38" i="9"/>
  <c r="E39" i="9"/>
  <c r="E40" i="9"/>
  <c r="E41" i="9"/>
  <c r="E42" i="9"/>
  <c r="E43" i="9"/>
  <c r="E44" i="9"/>
  <c r="D6" i="9"/>
  <c r="D7" i="9"/>
  <c r="D8" i="9"/>
  <c r="D9" i="9"/>
  <c r="D10" i="9"/>
  <c r="D11" i="9"/>
  <c r="D12" i="9"/>
  <c r="D13" i="9"/>
  <c r="D14" i="9"/>
  <c r="D15" i="9"/>
  <c r="D16" i="9"/>
  <c r="D17" i="9"/>
  <c r="D18" i="9"/>
  <c r="D19" i="9"/>
  <c r="D20" i="9"/>
  <c r="D21" i="9"/>
  <c r="D22" i="9"/>
  <c r="D23" i="9"/>
  <c r="D24" i="9"/>
  <c r="D25" i="9"/>
  <c r="D26" i="9"/>
  <c r="D27" i="9"/>
  <c r="D28" i="9"/>
  <c r="D29" i="9"/>
  <c r="D30" i="9"/>
  <c r="D31" i="9"/>
  <c r="D32" i="9"/>
  <c r="D33" i="9"/>
  <c r="D34" i="9"/>
  <c r="D35" i="9"/>
  <c r="D36" i="9"/>
  <c r="D37" i="9"/>
  <c r="D38" i="9"/>
  <c r="D39" i="9"/>
  <c r="D40" i="9"/>
  <c r="D41" i="9"/>
  <c r="D42" i="9"/>
  <c r="D43" i="9"/>
  <c r="D44" i="9"/>
  <c r="D5" i="9"/>
  <c r="U25" i="15" l="1"/>
  <c r="V25" i="15" s="1"/>
  <c r="U26" i="15" s="1"/>
  <c r="V26" i="15" s="1"/>
  <c r="U27" i="15" s="1"/>
  <c r="V27" i="15" s="1"/>
  <c r="U28" i="15" s="1"/>
  <c r="V28" i="15" s="1"/>
  <c r="S30" i="15"/>
  <c r="T30" i="15" s="1"/>
  <c r="U32" i="14"/>
  <c r="O31" i="14"/>
  <c r="R31" i="14" s="1"/>
  <c r="T31" i="14" s="1"/>
  <c r="U31" i="14"/>
  <c r="V32" i="14" s="1"/>
  <c r="O30" i="14"/>
  <c r="U30" i="14"/>
  <c r="X30" i="14" s="1"/>
  <c r="Y30" i="14" s="1"/>
  <c r="AC30" i="14" s="1"/>
  <c r="R30" i="14"/>
  <c r="T30" i="14" s="1"/>
  <c r="U28" i="14"/>
  <c r="X28" i="14" s="1"/>
  <c r="Y28" i="14" s="1"/>
  <c r="AC28" i="14" s="1"/>
  <c r="O28" i="14"/>
  <c r="R28" i="14" s="1"/>
  <c r="T28" i="14" s="1"/>
  <c r="S32" i="15"/>
  <c r="T32" i="15" s="1"/>
  <c r="S31" i="15"/>
  <c r="T31" i="15" s="1"/>
  <c r="O29" i="14"/>
  <c r="R29" i="14" s="1"/>
  <c r="T29" i="14" s="1"/>
  <c r="U29" i="14"/>
  <c r="X26" i="14"/>
  <c r="Y26" i="14" s="1"/>
  <c r="AC26" i="14" s="1"/>
  <c r="V26" i="14"/>
  <c r="S29" i="15"/>
  <c r="T29" i="15" s="1"/>
  <c r="R32" i="14"/>
  <c r="T32" i="14" s="1"/>
  <c r="T27" i="14"/>
  <c r="N11" i="11"/>
  <c r="U11" i="11" s="1"/>
  <c r="X11" i="11" s="1"/>
  <c r="Y11" i="11" s="1"/>
  <c r="AC11" i="11" s="1"/>
  <c r="Z25" i="14"/>
  <c r="Z26" i="14" s="1"/>
  <c r="AC25" i="14"/>
  <c r="Z12" i="14"/>
  <c r="Z13" i="14" s="1"/>
  <c r="Z14" i="14" s="1"/>
  <c r="Z15" i="14" s="1"/>
  <c r="Z16" i="14" s="1"/>
  <c r="X27" i="14"/>
  <c r="Y27" i="14" s="1"/>
  <c r="V27" i="14"/>
  <c r="X32" i="14"/>
  <c r="Y32" i="14" s="1"/>
  <c r="N16" i="11"/>
  <c r="U16" i="11" s="1"/>
  <c r="X16" i="11" s="1"/>
  <c r="Y16" i="11" s="1"/>
  <c r="AC16" i="11" s="1"/>
  <c r="N12" i="11"/>
  <c r="N15" i="11"/>
  <c r="M13" i="11"/>
  <c r="N32" i="11"/>
  <c r="M14" i="11"/>
  <c r="M9" i="11"/>
  <c r="M10" i="11"/>
  <c r="N13" i="11"/>
  <c r="M16" i="11"/>
  <c r="N9" i="11"/>
  <c r="M11" i="11"/>
  <c r="M12" i="11"/>
  <c r="M15" i="11"/>
  <c r="N8" i="11"/>
  <c r="N14" i="11"/>
  <c r="N26" i="11"/>
  <c r="O11" i="11"/>
  <c r="R11" i="11" s="1"/>
  <c r="T11" i="11" s="1"/>
  <c r="N28" i="11"/>
  <c r="N31" i="11"/>
  <c r="N29" i="11"/>
  <c r="N25" i="11"/>
  <c r="N27" i="11"/>
  <c r="N30" i="11"/>
  <c r="N10" i="11"/>
  <c r="U10" i="11" s="1"/>
  <c r="X10" i="11" s="1"/>
  <c r="Y10" i="11" s="1"/>
  <c r="AC10" i="11" s="1"/>
  <c r="N24" i="11"/>
  <c r="H4" i="9"/>
  <c r="G4" i="9"/>
  <c r="E4" i="9"/>
  <c r="H5" i="9"/>
  <c r="X7" i="9"/>
  <c r="F18" i="9"/>
  <c r="E5" i="9"/>
  <c r="X6" i="9"/>
  <c r="E59" i="9"/>
  <c r="D59" i="9"/>
  <c r="E58" i="9"/>
  <c r="D58" i="9"/>
  <c r="E57" i="9"/>
  <c r="D57" i="9"/>
  <c r="E56" i="9"/>
  <c r="D56" i="9"/>
  <c r="E55" i="9"/>
  <c r="D55" i="9"/>
  <c r="E54" i="9"/>
  <c r="D54" i="9"/>
  <c r="E53" i="9"/>
  <c r="D53" i="9"/>
  <c r="E52" i="9"/>
  <c r="D52" i="9"/>
  <c r="E51" i="9"/>
  <c r="D51" i="9"/>
  <c r="E50" i="9"/>
  <c r="D50" i="9"/>
  <c r="E49" i="9"/>
  <c r="D49" i="9"/>
  <c r="G6" i="9"/>
  <c r="F30" i="7"/>
  <c r="F31" i="7"/>
  <c r="F32" i="7"/>
  <c r="F33" i="7"/>
  <c r="F34" i="7"/>
  <c r="F35" i="7"/>
  <c r="F36" i="7"/>
  <c r="F37" i="7"/>
  <c r="F38" i="7"/>
  <c r="F39" i="7"/>
  <c r="F40" i="7"/>
  <c r="F41" i="7"/>
  <c r="F42" i="7"/>
  <c r="F29" i="7"/>
  <c r="E30" i="7"/>
  <c r="E31" i="7"/>
  <c r="E32" i="7"/>
  <c r="E33" i="7"/>
  <c r="E34" i="7"/>
  <c r="E35" i="7"/>
  <c r="E36" i="7"/>
  <c r="E37" i="7"/>
  <c r="E38" i="7"/>
  <c r="E39" i="7"/>
  <c r="E40" i="7"/>
  <c r="E41" i="7"/>
  <c r="E42" i="7"/>
  <c r="E29" i="7"/>
  <c r="H9" i="7"/>
  <c r="H10" i="7"/>
  <c r="H11" i="7"/>
  <c r="H12" i="7"/>
  <c r="H13" i="7"/>
  <c r="H14" i="7"/>
  <c r="H15" i="7"/>
  <c r="H16" i="7"/>
  <c r="H17" i="7"/>
  <c r="H18" i="7"/>
  <c r="H19" i="7"/>
  <c r="H20" i="7"/>
  <c r="H21" i="7"/>
  <c r="H8" i="7"/>
  <c r="G9" i="7"/>
  <c r="G10" i="7"/>
  <c r="G11" i="7"/>
  <c r="G12" i="7"/>
  <c r="G13" i="7"/>
  <c r="G14" i="7"/>
  <c r="G15" i="7"/>
  <c r="G16" i="7"/>
  <c r="G17" i="7"/>
  <c r="G18" i="7"/>
  <c r="G19" i="7"/>
  <c r="G20" i="7"/>
  <c r="G21" i="7"/>
  <c r="G8" i="7"/>
  <c r="F9" i="7"/>
  <c r="F10" i="7"/>
  <c r="F11" i="7"/>
  <c r="F12" i="7"/>
  <c r="F13" i="7"/>
  <c r="F14" i="7"/>
  <c r="F15" i="7"/>
  <c r="F16" i="7"/>
  <c r="F17" i="7"/>
  <c r="F18" i="7"/>
  <c r="F19" i="7"/>
  <c r="F20" i="7"/>
  <c r="F21" i="7"/>
  <c r="F8" i="7"/>
  <c r="E9" i="7"/>
  <c r="E10" i="7"/>
  <c r="E11" i="7"/>
  <c r="E12" i="7"/>
  <c r="E13" i="7"/>
  <c r="E14" i="7"/>
  <c r="E15" i="7"/>
  <c r="E16" i="7"/>
  <c r="E17" i="7"/>
  <c r="E18" i="7"/>
  <c r="E19" i="7"/>
  <c r="E20" i="7"/>
  <c r="E21" i="7"/>
  <c r="E8" i="7"/>
  <c r="B30" i="7"/>
  <c r="B31" i="7"/>
  <c r="B32" i="7"/>
  <c r="B33" i="7"/>
  <c r="B34" i="7"/>
  <c r="B35" i="7"/>
  <c r="B36" i="7"/>
  <c r="B37" i="7"/>
  <c r="B38" i="7"/>
  <c r="B39" i="7"/>
  <c r="B40" i="7"/>
  <c r="B41" i="7"/>
  <c r="B42" i="7"/>
  <c r="B29" i="7"/>
  <c r="B9" i="7"/>
  <c r="B10" i="7"/>
  <c r="B11" i="7"/>
  <c r="B12" i="7"/>
  <c r="B13" i="7"/>
  <c r="B14" i="7"/>
  <c r="B15" i="7"/>
  <c r="B16" i="7"/>
  <c r="B17" i="7"/>
  <c r="B18" i="7"/>
  <c r="B19" i="7"/>
  <c r="B20" i="7"/>
  <c r="B21" i="7"/>
  <c r="B8" i="7"/>
  <c r="L29" i="7"/>
  <c r="J29" i="7"/>
  <c r="K8" i="7"/>
  <c r="K29" i="7" s="1"/>
  <c r="V31" i="14" l="1"/>
  <c r="X31" i="14"/>
  <c r="Y31" i="14" s="1"/>
  <c r="AC31" i="14" s="1"/>
  <c r="V28" i="14"/>
  <c r="V30" i="14"/>
  <c r="V29" i="14"/>
  <c r="X29" i="14"/>
  <c r="Y29" i="14" s="1"/>
  <c r="AC29" i="14" s="1"/>
  <c r="U29" i="15"/>
  <c r="V29" i="15" s="1"/>
  <c r="U30" i="15" s="1"/>
  <c r="V30" i="15" s="1"/>
  <c r="U31" i="15" s="1"/>
  <c r="V31" i="15" s="1"/>
  <c r="U32" i="15" s="1"/>
  <c r="O30" i="11"/>
  <c r="T30" i="11" s="1"/>
  <c r="U30" i="11"/>
  <c r="O25" i="11"/>
  <c r="T25" i="11" s="1"/>
  <c r="U25" i="11"/>
  <c r="O16" i="11"/>
  <c r="R16" i="11" s="1"/>
  <c r="T16" i="11" s="1"/>
  <c r="O27" i="11"/>
  <c r="T27" i="11" s="1"/>
  <c r="U27" i="11"/>
  <c r="O26" i="11"/>
  <c r="T26" i="11" s="1"/>
  <c r="U26" i="11"/>
  <c r="O31" i="11"/>
  <c r="T31" i="11" s="1"/>
  <c r="U31" i="11"/>
  <c r="O32" i="11"/>
  <c r="T32" i="11" s="1"/>
  <c r="U32" i="11"/>
  <c r="O29" i="11"/>
  <c r="T29" i="11" s="1"/>
  <c r="U29" i="11"/>
  <c r="O28" i="11"/>
  <c r="T28" i="11" s="1"/>
  <c r="U28" i="11"/>
  <c r="O24" i="11"/>
  <c r="U24" i="11"/>
  <c r="X24" i="11" s="1"/>
  <c r="Y24" i="11" s="1"/>
  <c r="Z27" i="14"/>
  <c r="Z28" i="14" s="1"/>
  <c r="AC27" i="14"/>
  <c r="AC32" i="14"/>
  <c r="O14" i="11"/>
  <c r="R14" i="11" s="1"/>
  <c r="T14" i="11" s="1"/>
  <c r="U14" i="11"/>
  <c r="X14" i="11" s="1"/>
  <c r="Y14" i="11" s="1"/>
  <c r="AC14" i="11" s="1"/>
  <c r="O9" i="11"/>
  <c r="R9" i="11" s="1"/>
  <c r="T9" i="11" s="1"/>
  <c r="U9" i="11"/>
  <c r="X9" i="11" s="1"/>
  <c r="O15" i="11"/>
  <c r="R15" i="11" s="1"/>
  <c r="T15" i="11" s="1"/>
  <c r="U15" i="11"/>
  <c r="O12" i="11"/>
  <c r="R12" i="11" s="1"/>
  <c r="T12" i="11" s="1"/>
  <c r="U12" i="11"/>
  <c r="O13" i="11"/>
  <c r="R13" i="11" s="1"/>
  <c r="T13" i="11" s="1"/>
  <c r="U13" i="11"/>
  <c r="V16" i="11"/>
  <c r="O8" i="11"/>
  <c r="R8" i="11" s="1"/>
  <c r="T8" i="11" s="1"/>
  <c r="U8" i="11"/>
  <c r="V11" i="11"/>
  <c r="O10" i="11"/>
  <c r="R10" i="11" s="1"/>
  <c r="T10" i="11" s="1"/>
  <c r="X15" i="9"/>
  <c r="F53" i="9"/>
  <c r="F59" i="9"/>
  <c r="N5" i="9"/>
  <c r="N6" i="9"/>
  <c r="F19" i="9"/>
  <c r="F57" i="9"/>
  <c r="F24" i="9"/>
  <c r="F12" i="9"/>
  <c r="F23" i="9"/>
  <c r="F49" i="9"/>
  <c r="F55" i="9"/>
  <c r="X9" i="9"/>
  <c r="F42" i="9"/>
  <c r="F30" i="9"/>
  <c r="F6" i="9"/>
  <c r="F34" i="9"/>
  <c r="F22" i="9"/>
  <c r="F33" i="9"/>
  <c r="F21" i="9"/>
  <c r="F9" i="9"/>
  <c r="F44" i="9"/>
  <c r="F32" i="9"/>
  <c r="F20" i="9"/>
  <c r="F8" i="9"/>
  <c r="F35" i="9"/>
  <c r="F43" i="9"/>
  <c r="F31" i="9"/>
  <c r="F7" i="9"/>
  <c r="F52" i="9"/>
  <c r="F58" i="9"/>
  <c r="F37" i="9"/>
  <c r="F25" i="9"/>
  <c r="F50" i="9"/>
  <c r="F51" i="9"/>
  <c r="F56" i="9"/>
  <c r="F10" i="9"/>
  <c r="F54" i="9"/>
  <c r="F28" i="9"/>
  <c r="F15" i="9"/>
  <c r="F5" i="9"/>
  <c r="F36" i="9"/>
  <c r="F13" i="9"/>
  <c r="F11" i="9"/>
  <c r="F41" i="9"/>
  <c r="F29" i="9"/>
  <c r="F17" i="9"/>
  <c r="F40" i="9"/>
  <c r="F16" i="9"/>
  <c r="F39" i="9"/>
  <c r="F27" i="9"/>
  <c r="F38" i="9"/>
  <c r="F26" i="9"/>
  <c r="F14" i="9"/>
  <c r="G7" i="9"/>
  <c r="L8" i="7"/>
  <c r="V32" i="15" l="1"/>
  <c r="Z25" i="15"/>
  <c r="Z30" i="15" s="1"/>
  <c r="Z29" i="14"/>
  <c r="Z30" i="14" s="1"/>
  <c r="Z31" i="14" s="1"/>
  <c r="Z32" i="14" s="1"/>
  <c r="X8" i="11"/>
  <c r="V9" i="11"/>
  <c r="R24" i="11"/>
  <c r="T24" i="11" s="1"/>
  <c r="X25" i="11"/>
  <c r="Y25" i="11" s="1"/>
  <c r="V25" i="11"/>
  <c r="V31" i="11"/>
  <c r="X31" i="11"/>
  <c r="Y31" i="11" s="1"/>
  <c r="AC31" i="11" s="1"/>
  <c r="V29" i="11"/>
  <c r="X29" i="11"/>
  <c r="Y29" i="11" s="1"/>
  <c r="AC29" i="11" s="1"/>
  <c r="V27" i="11"/>
  <c r="X27" i="11"/>
  <c r="Y27" i="11" s="1"/>
  <c r="V30" i="11"/>
  <c r="X30" i="11"/>
  <c r="Y30" i="11" s="1"/>
  <c r="AC30" i="11" s="1"/>
  <c r="X26" i="11"/>
  <c r="Y26" i="11" s="1"/>
  <c r="V26" i="11"/>
  <c r="Z24" i="11"/>
  <c r="AC24" i="11"/>
  <c r="V28" i="11"/>
  <c r="X28" i="11"/>
  <c r="Y28" i="11" s="1"/>
  <c r="AC28" i="11" s="1"/>
  <c r="X32" i="11"/>
  <c r="Y32" i="11" s="1"/>
  <c r="AC32" i="11" s="1"/>
  <c r="V32" i="11"/>
  <c r="V13" i="11"/>
  <c r="X13" i="11"/>
  <c r="Y13" i="11" s="1"/>
  <c r="AC13" i="11" s="1"/>
  <c r="V15" i="11"/>
  <c r="X15" i="11"/>
  <c r="Y15" i="11" s="1"/>
  <c r="AC15" i="11" s="1"/>
  <c r="V12" i="11"/>
  <c r="X12" i="11"/>
  <c r="Y12" i="11" s="1"/>
  <c r="AC12" i="11" s="1"/>
  <c r="V10" i="11"/>
  <c r="V14" i="11"/>
  <c r="N7" i="9"/>
  <c r="G8" i="9"/>
  <c r="AC8" i="11" l="1"/>
  <c r="Z8" i="11"/>
  <c r="AC27" i="11"/>
  <c r="AC26" i="11"/>
  <c r="Z25" i="11"/>
  <c r="Z26" i="11" s="1"/>
  <c r="Z27" i="11" s="1"/>
  <c r="Z28" i="11" s="1"/>
  <c r="Z29" i="11" s="1"/>
  <c r="Z30" i="11" s="1"/>
  <c r="Z31" i="11" s="1"/>
  <c r="Z32" i="11" s="1"/>
  <c r="AC25" i="11"/>
  <c r="Z9" i="11"/>
  <c r="Z10" i="11" s="1"/>
  <c r="Z11" i="11" s="1"/>
  <c r="Z12" i="11" s="1"/>
  <c r="Z13" i="11" s="1"/>
  <c r="Z14" i="11" s="1"/>
  <c r="Z15" i="11" s="1"/>
  <c r="Z16" i="11" s="1"/>
  <c r="AC9" i="11"/>
  <c r="N8" i="9"/>
  <c r="G9" i="9"/>
  <c r="N9" i="9" l="1"/>
  <c r="G10" i="9"/>
  <c r="N10" i="9" l="1"/>
  <c r="G11" i="9"/>
  <c r="N11" i="9" l="1"/>
  <c r="G12" i="9"/>
  <c r="N12" i="9" l="1"/>
  <c r="G13" i="9"/>
  <c r="N13" i="9" l="1"/>
  <c r="G14" i="9"/>
  <c r="N14" i="9" l="1"/>
  <c r="G15" i="9"/>
  <c r="N15" i="9" l="1"/>
  <c r="X8" i="9"/>
  <c r="G16" i="9"/>
  <c r="N16" i="9" l="1"/>
  <c r="G17" i="9"/>
  <c r="N17" i="9" l="1"/>
  <c r="G18" i="9"/>
  <c r="N18" i="9" l="1"/>
  <c r="G19" i="9"/>
  <c r="L42" i="7"/>
  <c r="S9" i="6"/>
  <c r="S10" i="6"/>
  <c r="S11" i="6"/>
  <c r="S12" i="6"/>
  <c r="S13" i="6"/>
  <c r="S14" i="6"/>
  <c r="S15" i="6"/>
  <c r="S16" i="6"/>
  <c r="S17" i="6"/>
  <c r="S18" i="6"/>
  <c r="S19" i="6"/>
  <c r="S20" i="6"/>
  <c r="S21" i="6"/>
  <c r="S8" i="6"/>
  <c r="L9" i="6"/>
  <c r="L10" i="6"/>
  <c r="L11" i="6"/>
  <c r="L12" i="6"/>
  <c r="L13" i="6"/>
  <c r="L14" i="6"/>
  <c r="L15" i="6"/>
  <c r="L16" i="6"/>
  <c r="L17" i="6"/>
  <c r="L18" i="6"/>
  <c r="L19" i="6"/>
  <c r="L20" i="6"/>
  <c r="L21" i="6"/>
  <c r="L8" i="6"/>
  <c r="K8" i="6"/>
  <c r="K9" i="6" s="1"/>
  <c r="K10" i="6" s="1"/>
  <c r="J68" i="6"/>
  <c r="I68" i="6"/>
  <c r="H68" i="6"/>
  <c r="G68" i="6"/>
  <c r="F68" i="6"/>
  <c r="D68" i="6"/>
  <c r="B68" i="6"/>
  <c r="J67" i="6"/>
  <c r="I67" i="6"/>
  <c r="H67" i="6"/>
  <c r="G67" i="6"/>
  <c r="F67" i="6"/>
  <c r="D67" i="6"/>
  <c r="B67" i="6"/>
  <c r="I66" i="6"/>
  <c r="H66" i="6"/>
  <c r="G66" i="6"/>
  <c r="F66" i="6"/>
  <c r="D66" i="6"/>
  <c r="B66" i="6"/>
  <c r="I65" i="6"/>
  <c r="H65" i="6"/>
  <c r="G65" i="6"/>
  <c r="F65" i="6"/>
  <c r="D65" i="6"/>
  <c r="B65" i="6"/>
  <c r="I64" i="6"/>
  <c r="H64" i="6"/>
  <c r="G64" i="6"/>
  <c r="F64" i="6"/>
  <c r="D64" i="6"/>
  <c r="B64" i="6"/>
  <c r="I63" i="6"/>
  <c r="H63" i="6"/>
  <c r="G63" i="6"/>
  <c r="F63" i="6"/>
  <c r="D63" i="6"/>
  <c r="B63" i="6"/>
  <c r="I62" i="6"/>
  <c r="H62" i="6"/>
  <c r="G62" i="6"/>
  <c r="F62" i="6"/>
  <c r="D62" i="6"/>
  <c r="B62" i="6"/>
  <c r="I61" i="6"/>
  <c r="H61" i="6"/>
  <c r="G61" i="6"/>
  <c r="F61" i="6"/>
  <c r="D61" i="6"/>
  <c r="B61" i="6"/>
  <c r="I60" i="6"/>
  <c r="H60" i="6"/>
  <c r="G60" i="6"/>
  <c r="F60" i="6"/>
  <c r="D60" i="6"/>
  <c r="B60" i="6"/>
  <c r="I59" i="6"/>
  <c r="H59" i="6"/>
  <c r="G59" i="6"/>
  <c r="F59" i="6"/>
  <c r="D59" i="6"/>
  <c r="B59" i="6"/>
  <c r="I58" i="6"/>
  <c r="H58" i="6"/>
  <c r="G58" i="6"/>
  <c r="F58" i="6"/>
  <c r="D58" i="6"/>
  <c r="B58" i="6"/>
  <c r="I57" i="6"/>
  <c r="H57" i="6"/>
  <c r="G57" i="6"/>
  <c r="F57" i="6"/>
  <c r="D57" i="6"/>
  <c r="B57" i="6"/>
  <c r="I56" i="6"/>
  <c r="H56" i="6"/>
  <c r="G56" i="6"/>
  <c r="F56" i="6"/>
  <c r="D56" i="6"/>
  <c r="B56" i="6"/>
  <c r="I55" i="6"/>
  <c r="H55" i="6"/>
  <c r="G55" i="6"/>
  <c r="F55" i="6"/>
  <c r="D55" i="6"/>
  <c r="B55" i="6"/>
  <c r="I54" i="6"/>
  <c r="H54" i="6"/>
  <c r="G54" i="6"/>
  <c r="F54" i="6"/>
  <c r="D54" i="6"/>
  <c r="B54" i="6"/>
  <c r="I53" i="6"/>
  <c r="H53" i="6"/>
  <c r="G53" i="6"/>
  <c r="F53" i="6"/>
  <c r="D53" i="6"/>
  <c r="B53" i="6"/>
  <c r="I52" i="6"/>
  <c r="H52" i="6"/>
  <c r="G52" i="6"/>
  <c r="F52" i="6"/>
  <c r="D52" i="6"/>
  <c r="B52" i="6"/>
  <c r="I51" i="6"/>
  <c r="H51" i="6"/>
  <c r="G51" i="6"/>
  <c r="F51" i="6"/>
  <c r="D51" i="6"/>
  <c r="B51" i="6"/>
  <c r="I50" i="6"/>
  <c r="H50" i="6"/>
  <c r="G50" i="6"/>
  <c r="F50" i="6"/>
  <c r="D50" i="6"/>
  <c r="B50" i="6"/>
  <c r="I49" i="6"/>
  <c r="H49" i="6"/>
  <c r="G49" i="6"/>
  <c r="F49" i="6"/>
  <c r="D49" i="6"/>
  <c r="B49" i="6"/>
  <c r="I48" i="6"/>
  <c r="H48" i="6"/>
  <c r="G48" i="6"/>
  <c r="F48" i="6"/>
  <c r="D48" i="6"/>
  <c r="B48" i="6"/>
  <c r="I47" i="6"/>
  <c r="H47" i="6"/>
  <c r="G47" i="6"/>
  <c r="F47" i="6"/>
  <c r="D47" i="6"/>
  <c r="B47" i="6"/>
  <c r="I46" i="6"/>
  <c r="H46" i="6"/>
  <c r="G46" i="6"/>
  <c r="F46" i="6"/>
  <c r="D46" i="6"/>
  <c r="B46" i="6"/>
  <c r="I45" i="6"/>
  <c r="H45" i="6"/>
  <c r="G45" i="6"/>
  <c r="F45" i="6"/>
  <c r="D45" i="6"/>
  <c r="B45" i="6"/>
  <c r="I44" i="6"/>
  <c r="H44" i="6"/>
  <c r="G44" i="6"/>
  <c r="F44" i="6"/>
  <c r="D44" i="6"/>
  <c r="B44" i="6"/>
  <c r="I43" i="6"/>
  <c r="H43" i="6"/>
  <c r="G43" i="6"/>
  <c r="F43" i="6"/>
  <c r="D43" i="6"/>
  <c r="B43" i="6"/>
  <c r="I42" i="6"/>
  <c r="H42" i="6"/>
  <c r="G42" i="6"/>
  <c r="F42" i="6"/>
  <c r="D42" i="6"/>
  <c r="B42" i="6"/>
  <c r="I41" i="6"/>
  <c r="H41" i="6"/>
  <c r="G41" i="6"/>
  <c r="F41" i="6"/>
  <c r="D41" i="6"/>
  <c r="B41" i="6"/>
  <c r="I40" i="6"/>
  <c r="H40" i="6"/>
  <c r="G40" i="6"/>
  <c r="F40" i="6"/>
  <c r="D40" i="6"/>
  <c r="B40" i="6"/>
  <c r="I39" i="6"/>
  <c r="H39" i="6"/>
  <c r="G39" i="6"/>
  <c r="F39" i="6"/>
  <c r="D39" i="6"/>
  <c r="B39" i="6"/>
  <c r="I38" i="6"/>
  <c r="H38" i="6"/>
  <c r="G38" i="6"/>
  <c r="F38" i="6"/>
  <c r="D38" i="6"/>
  <c r="B38" i="6"/>
  <c r="I37" i="6"/>
  <c r="H37" i="6"/>
  <c r="G37" i="6"/>
  <c r="F37" i="6"/>
  <c r="D37" i="6"/>
  <c r="B37" i="6"/>
  <c r="I36" i="6"/>
  <c r="H36" i="6"/>
  <c r="G36" i="6"/>
  <c r="F36" i="6"/>
  <c r="D36" i="6"/>
  <c r="B36" i="6"/>
  <c r="I35" i="6"/>
  <c r="H35" i="6"/>
  <c r="G35" i="6"/>
  <c r="F35" i="6"/>
  <c r="D35" i="6"/>
  <c r="B35" i="6"/>
  <c r="I34" i="6"/>
  <c r="H34" i="6"/>
  <c r="G34" i="6"/>
  <c r="F34" i="6"/>
  <c r="D34" i="6"/>
  <c r="B34" i="6"/>
  <c r="I33" i="6"/>
  <c r="H33" i="6"/>
  <c r="G33" i="6"/>
  <c r="F33" i="6"/>
  <c r="D33" i="6"/>
  <c r="B33" i="6"/>
  <c r="I32" i="6"/>
  <c r="H32" i="6"/>
  <c r="G32" i="6"/>
  <c r="F32" i="6"/>
  <c r="D32" i="6"/>
  <c r="B32" i="6"/>
  <c r="I31" i="6"/>
  <c r="H31" i="6"/>
  <c r="G31" i="6"/>
  <c r="F31" i="6"/>
  <c r="D31" i="6"/>
  <c r="B31" i="6"/>
  <c r="L30" i="6"/>
  <c r="L31" i="6" s="1"/>
  <c r="L32" i="6" s="1"/>
  <c r="L33" i="6" s="1"/>
  <c r="L34" i="6" s="1"/>
  <c r="L35" i="6" s="1"/>
  <c r="L36" i="6" s="1"/>
  <c r="L37" i="6" s="1"/>
  <c r="L38" i="6" s="1"/>
  <c r="L39" i="6" s="1"/>
  <c r="L40" i="6" s="1"/>
  <c r="L41" i="6" s="1"/>
  <c r="I30" i="6"/>
  <c r="H30" i="6"/>
  <c r="G30" i="6"/>
  <c r="F30" i="6"/>
  <c r="D30" i="6"/>
  <c r="B30" i="6"/>
  <c r="L29" i="6"/>
  <c r="I29" i="6"/>
  <c r="H29" i="6"/>
  <c r="G29" i="6"/>
  <c r="F29" i="6"/>
  <c r="D29" i="6"/>
  <c r="B29" i="6"/>
  <c r="J66" i="6"/>
  <c r="J65" i="6"/>
  <c r="J64" i="6"/>
  <c r="J63" i="6"/>
  <c r="J62" i="6"/>
  <c r="J61" i="6"/>
  <c r="J60" i="6"/>
  <c r="J59" i="6"/>
  <c r="J57" i="6"/>
  <c r="J56" i="6"/>
  <c r="J55" i="6"/>
  <c r="J54" i="6"/>
  <c r="J53" i="6"/>
  <c r="J52" i="6"/>
  <c r="J51" i="6"/>
  <c r="J50" i="6"/>
  <c r="J49" i="6"/>
  <c r="J48" i="6"/>
  <c r="J47" i="6"/>
  <c r="J45" i="6"/>
  <c r="J44" i="6"/>
  <c r="J43" i="6"/>
  <c r="J42" i="6"/>
  <c r="J41" i="6"/>
  <c r="J40" i="6"/>
  <c r="J39" i="6"/>
  <c r="J38" i="6"/>
  <c r="J37" i="6"/>
  <c r="J36" i="6"/>
  <c r="J35" i="6"/>
  <c r="J33" i="6"/>
  <c r="J32" i="6"/>
  <c r="J31" i="6"/>
  <c r="J30" i="6"/>
  <c r="J29" i="6"/>
  <c r="J5" i="1"/>
  <c r="J6" i="1"/>
  <c r="J7" i="1"/>
  <c r="J8" i="1"/>
  <c r="J9" i="1"/>
  <c r="J10" i="1"/>
  <c r="J11" i="1"/>
  <c r="J12" i="1"/>
  <c r="J13" i="1"/>
  <c r="J14" i="1"/>
  <c r="J15" i="1"/>
  <c r="J16" i="1"/>
  <c r="J17" i="1"/>
  <c r="J4" i="1"/>
  <c r="G5" i="1"/>
  <c r="G6" i="1"/>
  <c r="G7" i="1"/>
  <c r="G8" i="1"/>
  <c r="G9" i="1"/>
  <c r="I28" i="1" s="1"/>
  <c r="G10" i="1"/>
  <c r="G11" i="1"/>
  <c r="G12" i="1"/>
  <c r="G13" i="1"/>
  <c r="G14" i="1"/>
  <c r="G15" i="1"/>
  <c r="G16" i="1"/>
  <c r="G17" i="1"/>
  <c r="G4" i="1"/>
  <c r="D5" i="1"/>
  <c r="D6" i="1"/>
  <c r="D7" i="1"/>
  <c r="D8" i="1"/>
  <c r="D9" i="1"/>
  <c r="D10" i="1"/>
  <c r="D11" i="1"/>
  <c r="D12" i="1"/>
  <c r="D13" i="1"/>
  <c r="D14" i="1"/>
  <c r="D15" i="1"/>
  <c r="D16" i="1"/>
  <c r="D17" i="1"/>
  <c r="D4" i="1"/>
  <c r="M38" i="6" l="1"/>
  <c r="M40" i="6"/>
  <c r="I17" i="7"/>
  <c r="I38" i="7" s="1"/>
  <c r="I16" i="7"/>
  <c r="I37" i="7" s="1"/>
  <c r="I14" i="7"/>
  <c r="I35" i="7" s="1"/>
  <c r="I15" i="7"/>
  <c r="I36" i="7" s="1"/>
  <c r="I13" i="7"/>
  <c r="I34" i="7" s="1"/>
  <c r="I18" i="7"/>
  <c r="I39" i="7" s="1"/>
  <c r="I12" i="7"/>
  <c r="I33" i="7" s="1"/>
  <c r="I11" i="7"/>
  <c r="I32" i="7" s="1"/>
  <c r="I10" i="6"/>
  <c r="M10" i="6" s="1"/>
  <c r="N10" i="6" s="1"/>
  <c r="R10" i="6" s="1"/>
  <c r="M4" i="1"/>
  <c r="I10" i="7"/>
  <c r="I31" i="7" s="1"/>
  <c r="I21" i="7"/>
  <c r="I42" i="7" s="1"/>
  <c r="I9" i="7"/>
  <c r="I30" i="7" s="1"/>
  <c r="I20" i="7"/>
  <c r="I41" i="7" s="1"/>
  <c r="I19" i="7"/>
  <c r="I40" i="7" s="1"/>
  <c r="R16" i="1"/>
  <c r="R7" i="1"/>
  <c r="R8" i="1"/>
  <c r="R14" i="1"/>
  <c r="R9" i="1"/>
  <c r="I27" i="1"/>
  <c r="R15" i="1"/>
  <c r="R13" i="1"/>
  <c r="R12" i="1"/>
  <c r="I17" i="6"/>
  <c r="R6" i="1"/>
  <c r="R17" i="1"/>
  <c r="R5" i="1"/>
  <c r="R11" i="1"/>
  <c r="R10" i="1"/>
  <c r="I20" i="6"/>
  <c r="I19" i="6"/>
  <c r="I18" i="6"/>
  <c r="I11" i="6"/>
  <c r="D26" i="1"/>
  <c r="I8" i="7"/>
  <c r="M8" i="7" s="1"/>
  <c r="D29" i="1"/>
  <c r="D32" i="1" s="1"/>
  <c r="I9" i="6"/>
  <c r="M9" i="6" s="1"/>
  <c r="N9" i="6" s="1"/>
  <c r="I8" i="6"/>
  <c r="M8" i="6" s="1"/>
  <c r="N8" i="6" s="1"/>
  <c r="R8" i="6" s="1"/>
  <c r="D25" i="1"/>
  <c r="I21" i="6"/>
  <c r="N19" i="9"/>
  <c r="G20" i="9"/>
  <c r="I16" i="6"/>
  <c r="I15" i="6"/>
  <c r="I14" i="6"/>
  <c r="I13" i="6"/>
  <c r="I12" i="6"/>
  <c r="L34" i="7"/>
  <c r="L32" i="7"/>
  <c r="L36" i="7"/>
  <c r="L21" i="7"/>
  <c r="L39" i="7"/>
  <c r="L12" i="7"/>
  <c r="L17" i="7"/>
  <c r="L10" i="7"/>
  <c r="L31" i="7"/>
  <c r="L33" i="7"/>
  <c r="L35" i="7"/>
  <c r="L40" i="7"/>
  <c r="L37" i="7"/>
  <c r="L11" i="7"/>
  <c r="L18" i="7"/>
  <c r="L41" i="7"/>
  <c r="L30" i="7"/>
  <c r="L9" i="7"/>
  <c r="L38" i="7"/>
  <c r="L19" i="7"/>
  <c r="L13" i="7"/>
  <c r="L20" i="7"/>
  <c r="L16" i="7"/>
  <c r="L15" i="7"/>
  <c r="L14" i="7"/>
  <c r="M29" i="6"/>
  <c r="M53" i="6"/>
  <c r="M68" i="6"/>
  <c r="M67" i="6"/>
  <c r="M46" i="6"/>
  <c r="M48" i="6"/>
  <c r="M50" i="6"/>
  <c r="M52" i="6"/>
  <c r="M56" i="6"/>
  <c r="M64" i="6"/>
  <c r="M66" i="6"/>
  <c r="M43" i="6"/>
  <c r="M63" i="6"/>
  <c r="M32" i="6"/>
  <c r="M42" i="6"/>
  <c r="M44" i="6"/>
  <c r="M54" i="6"/>
  <c r="M62" i="6"/>
  <c r="M31" i="6"/>
  <c r="M33" i="6"/>
  <c r="M39" i="6"/>
  <c r="M41" i="6"/>
  <c r="M47" i="6"/>
  <c r="M49" i="6"/>
  <c r="M51" i="6"/>
  <c r="M55" i="6"/>
  <c r="M65" i="6"/>
  <c r="M30" i="6"/>
  <c r="M35" i="6"/>
  <c r="M37" i="6"/>
  <c r="M58" i="6"/>
  <c r="M60" i="6"/>
  <c r="N30" i="6"/>
  <c r="O30" i="6" s="1"/>
  <c r="R30" i="6" s="1"/>
  <c r="M57" i="6"/>
  <c r="M34" i="6"/>
  <c r="M36" i="6"/>
  <c r="M59" i="6"/>
  <c r="M61" i="6"/>
  <c r="N29" i="6"/>
  <c r="O29" i="6" s="1"/>
  <c r="R29" i="6" s="1"/>
  <c r="M45" i="6"/>
  <c r="K29" i="6"/>
  <c r="K30" i="6" s="1"/>
  <c r="K31" i="6" s="1"/>
  <c r="K32" i="6" s="1"/>
  <c r="K33" i="6" s="1"/>
  <c r="K34" i="6" s="1"/>
  <c r="K35" i="6" s="1"/>
  <c r="K36" i="6" s="1"/>
  <c r="K37" i="6" s="1"/>
  <c r="K38" i="6" s="1"/>
  <c r="K39" i="6" s="1"/>
  <c r="K40" i="6" s="1"/>
  <c r="K41" i="6" s="1"/>
  <c r="K42" i="6" s="1"/>
  <c r="K43" i="6" s="1"/>
  <c r="K44" i="6" s="1"/>
  <c r="K45" i="6" s="1"/>
  <c r="K46" i="6" s="1"/>
  <c r="K47" i="6" s="1"/>
  <c r="K48" i="6" s="1"/>
  <c r="K49" i="6" s="1"/>
  <c r="K50" i="6" s="1"/>
  <c r="K51" i="6" s="1"/>
  <c r="K52" i="6" s="1"/>
  <c r="K53" i="6" s="1"/>
  <c r="K54" i="6" s="1"/>
  <c r="K55" i="6" s="1"/>
  <c r="K56" i="6" s="1"/>
  <c r="K57" i="6" s="1"/>
  <c r="K58" i="6" s="1"/>
  <c r="K59" i="6" s="1"/>
  <c r="K60" i="6" s="1"/>
  <c r="K61" i="6" s="1"/>
  <c r="K62" i="6" s="1"/>
  <c r="K63" i="6" s="1"/>
  <c r="K64" i="6" s="1"/>
  <c r="K65" i="6" s="1"/>
  <c r="K11" i="6"/>
  <c r="K12" i="6" s="1"/>
  <c r="K13" i="6" s="1"/>
  <c r="K14" i="6" s="1"/>
  <c r="K15" i="6" s="1"/>
  <c r="K16" i="6" s="1"/>
  <c r="N41" i="6"/>
  <c r="O41" i="6" s="1"/>
  <c r="R41" i="6" s="1"/>
  <c r="L42" i="6"/>
  <c r="L43" i="6" s="1"/>
  <c r="L44" i="6" s="1"/>
  <c r="L45" i="6" s="1"/>
  <c r="L46" i="6" s="1"/>
  <c r="L47" i="6" s="1"/>
  <c r="L48" i="6" s="1"/>
  <c r="L49" i="6" s="1"/>
  <c r="L50" i="6" s="1"/>
  <c r="L51" i="6" s="1"/>
  <c r="L52" i="6" s="1"/>
  <c r="L53" i="6" s="1"/>
  <c r="N38" i="6"/>
  <c r="O38" i="6" s="1"/>
  <c r="R38" i="6" s="1"/>
  <c r="N39" i="6"/>
  <c r="O39" i="6" s="1"/>
  <c r="R39" i="6" s="1"/>
  <c r="N40" i="6"/>
  <c r="O40" i="6" s="1"/>
  <c r="R40" i="6" s="1"/>
  <c r="N31" i="6"/>
  <c r="O31" i="6" s="1"/>
  <c r="R31" i="6" s="1"/>
  <c r="N33" i="6"/>
  <c r="O33" i="6" s="1"/>
  <c r="R33" i="6" s="1"/>
  <c r="N35" i="6"/>
  <c r="O35" i="6" s="1"/>
  <c r="R35" i="6" s="1"/>
  <c r="N36" i="6"/>
  <c r="O36" i="6" s="1"/>
  <c r="R36" i="6" s="1"/>
  <c r="N37" i="6"/>
  <c r="O37" i="6" s="1"/>
  <c r="R37" i="6" s="1"/>
  <c r="J34" i="6"/>
  <c r="N34" i="6" s="1"/>
  <c r="O34" i="6" s="1"/>
  <c r="R34" i="6" s="1"/>
  <c r="J46" i="6"/>
  <c r="J58" i="6"/>
  <c r="N43" i="6"/>
  <c r="O43" i="6" s="1"/>
  <c r="R43" i="6" s="1"/>
  <c r="N32" i="6"/>
  <c r="O32" i="6" s="1"/>
  <c r="R32" i="6" s="1"/>
  <c r="M13" i="6" l="1"/>
  <c r="N13" i="6" s="1"/>
  <c r="R13" i="6" s="1"/>
  <c r="M14" i="6"/>
  <c r="N14" i="6" s="1"/>
  <c r="R14" i="6" s="1"/>
  <c r="I29" i="7"/>
  <c r="M29" i="7" s="1"/>
  <c r="N29" i="7" s="1"/>
  <c r="Q29" i="7" s="1"/>
  <c r="S29" i="7" s="1"/>
  <c r="X10" i="9"/>
  <c r="M16" i="6"/>
  <c r="N16" i="6" s="1"/>
  <c r="R16" i="6" s="1"/>
  <c r="N20" i="9"/>
  <c r="G21" i="9"/>
  <c r="M11" i="6"/>
  <c r="N11" i="6" s="1"/>
  <c r="R11" i="6" s="1"/>
  <c r="J30" i="7"/>
  <c r="N8" i="7"/>
  <c r="Q8" i="7" s="1"/>
  <c r="S8" i="7" s="1"/>
  <c r="M12" i="6"/>
  <c r="N12" i="6" s="1"/>
  <c r="R12" i="6" s="1"/>
  <c r="M15" i="6"/>
  <c r="N15" i="6" s="1"/>
  <c r="R15" i="6" s="1"/>
  <c r="N51" i="6"/>
  <c r="O51" i="6" s="1"/>
  <c r="R51" i="6" s="1"/>
  <c r="N50" i="6"/>
  <c r="O50" i="6" s="1"/>
  <c r="R50" i="6" s="1"/>
  <c r="N46" i="6"/>
  <c r="O46" i="6" s="1"/>
  <c r="R46" i="6" s="1"/>
  <c r="N45" i="6"/>
  <c r="O45" i="6" s="1"/>
  <c r="R45" i="6" s="1"/>
  <c r="N47" i="6"/>
  <c r="O47" i="6" s="1"/>
  <c r="R47" i="6" s="1"/>
  <c r="N52" i="6"/>
  <c r="O52" i="6" s="1"/>
  <c r="R52" i="6" s="1"/>
  <c r="N49" i="6"/>
  <c r="O49" i="6" s="1"/>
  <c r="R49" i="6" s="1"/>
  <c r="N44" i="6"/>
  <c r="O44" i="6" s="1"/>
  <c r="R44" i="6" s="1"/>
  <c r="N42" i="6"/>
  <c r="O42" i="6" s="1"/>
  <c r="R42" i="6" s="1"/>
  <c r="K17" i="6"/>
  <c r="M17" i="6" s="1"/>
  <c r="N17" i="6" s="1"/>
  <c r="R17" i="6" s="1"/>
  <c r="N53" i="6"/>
  <c r="O53" i="6" s="1"/>
  <c r="R53" i="6" s="1"/>
  <c r="L54" i="6"/>
  <c r="K67" i="6"/>
  <c r="K68" i="6" s="1"/>
  <c r="K66" i="6"/>
  <c r="N48" i="6"/>
  <c r="O48" i="6" s="1"/>
  <c r="R48" i="6" s="1"/>
  <c r="I39" i="9" l="1"/>
  <c r="J39" i="9" s="1"/>
  <c r="M39" i="9" s="1"/>
  <c r="I36" i="9"/>
  <c r="J36" i="9" s="1"/>
  <c r="M36" i="9" s="1"/>
  <c r="I31" i="9"/>
  <c r="J31" i="9" s="1"/>
  <c r="M31" i="9" s="1"/>
  <c r="I38" i="9"/>
  <c r="J38" i="9" s="1"/>
  <c r="M38" i="9" s="1"/>
  <c r="I6" i="9"/>
  <c r="J6" i="9" s="1"/>
  <c r="I19" i="9"/>
  <c r="J19" i="9" s="1"/>
  <c r="I16" i="9"/>
  <c r="J16" i="9" s="1"/>
  <c r="I41" i="9"/>
  <c r="J41" i="9" s="1"/>
  <c r="M41" i="9" s="1"/>
  <c r="I7" i="9"/>
  <c r="J7" i="9" s="1"/>
  <c r="J57" i="9"/>
  <c r="K57" i="9" s="1"/>
  <c r="L57" i="9" s="1"/>
  <c r="I10" i="9"/>
  <c r="J10" i="9" s="1"/>
  <c r="I29" i="9"/>
  <c r="J29" i="9" s="1"/>
  <c r="M29" i="9" s="1"/>
  <c r="I25" i="9"/>
  <c r="J25" i="9" s="1"/>
  <c r="M25" i="9" s="1"/>
  <c r="I42" i="9"/>
  <c r="J42" i="9" s="1"/>
  <c r="M42" i="9" s="1"/>
  <c r="I13" i="9"/>
  <c r="J13" i="9" s="1"/>
  <c r="I12" i="9"/>
  <c r="J12" i="9" s="1"/>
  <c r="I33" i="9"/>
  <c r="J33" i="9" s="1"/>
  <c r="M33" i="9" s="1"/>
  <c r="I30" i="9"/>
  <c r="J30" i="9" s="1"/>
  <c r="M30" i="9" s="1"/>
  <c r="I8" i="9"/>
  <c r="J8" i="9" s="1"/>
  <c r="I24" i="9"/>
  <c r="J24" i="9" s="1"/>
  <c r="M24" i="9" s="1"/>
  <c r="I27" i="9"/>
  <c r="J27" i="9" s="1"/>
  <c r="M27" i="9" s="1"/>
  <c r="I21" i="9"/>
  <c r="J21" i="9" s="1"/>
  <c r="M21" i="9" s="1"/>
  <c r="Q21" i="9" s="1"/>
  <c r="I18" i="9"/>
  <c r="J18" i="9" s="1"/>
  <c r="I43" i="9"/>
  <c r="J43" i="9" s="1"/>
  <c r="M43" i="9" s="1"/>
  <c r="I22" i="9"/>
  <c r="J22" i="9" s="1"/>
  <c r="M22" i="9" s="1"/>
  <c r="I11" i="9"/>
  <c r="J11" i="9" s="1"/>
  <c r="I9" i="9"/>
  <c r="J9" i="9" s="1"/>
  <c r="I5" i="9"/>
  <c r="J5" i="9" s="1"/>
  <c r="I17" i="9"/>
  <c r="J17" i="9" s="1"/>
  <c r="I40" i="9"/>
  <c r="J40" i="9" s="1"/>
  <c r="M40" i="9" s="1"/>
  <c r="I44" i="9"/>
  <c r="J44" i="9" s="1"/>
  <c r="M44" i="9" s="1"/>
  <c r="I35" i="9"/>
  <c r="J35" i="9" s="1"/>
  <c r="M35" i="9" s="1"/>
  <c r="I23" i="9"/>
  <c r="J23" i="9" s="1"/>
  <c r="M23" i="9" s="1"/>
  <c r="I32" i="9"/>
  <c r="J32" i="9" s="1"/>
  <c r="M32" i="9" s="1"/>
  <c r="I26" i="9"/>
  <c r="J26" i="9" s="1"/>
  <c r="M26" i="9" s="1"/>
  <c r="I37" i="9"/>
  <c r="J37" i="9" s="1"/>
  <c r="M37" i="9" s="1"/>
  <c r="I15" i="9"/>
  <c r="J15" i="9" s="1"/>
  <c r="AC11" i="9" s="1"/>
  <c r="AC12" i="9" s="1"/>
  <c r="I28" i="9"/>
  <c r="J28" i="9" s="1"/>
  <c r="M28" i="9" s="1"/>
  <c r="I20" i="9"/>
  <c r="J20" i="9" s="1"/>
  <c r="I34" i="9"/>
  <c r="J34" i="9" s="1"/>
  <c r="M34" i="9" s="1"/>
  <c r="I14" i="9"/>
  <c r="J14" i="9" s="1"/>
  <c r="J52" i="9"/>
  <c r="K52" i="9" s="1"/>
  <c r="L52" i="9" s="1"/>
  <c r="M50" i="9"/>
  <c r="J53" i="9"/>
  <c r="K53" i="9" s="1"/>
  <c r="L53" i="9" s="1"/>
  <c r="M55" i="9"/>
  <c r="M51" i="9"/>
  <c r="M56" i="9"/>
  <c r="M54" i="9"/>
  <c r="J55" i="9"/>
  <c r="K55" i="9" s="1"/>
  <c r="L55" i="9" s="1"/>
  <c r="M57" i="9"/>
  <c r="M58" i="9"/>
  <c r="J58" i="9"/>
  <c r="K58" i="9" s="1"/>
  <c r="L58" i="9" s="1"/>
  <c r="M53" i="9"/>
  <c r="J54" i="9"/>
  <c r="K54" i="9" s="1"/>
  <c r="L54" i="9" s="1"/>
  <c r="M52" i="9"/>
  <c r="J50" i="9"/>
  <c r="K50" i="9" s="1"/>
  <c r="L50" i="9" s="1"/>
  <c r="M49" i="9"/>
  <c r="J59" i="9"/>
  <c r="K59" i="9" s="1"/>
  <c r="L59" i="9" s="1"/>
  <c r="J49" i="9"/>
  <c r="K49" i="9" s="1"/>
  <c r="L49" i="9" s="1"/>
  <c r="M59" i="9"/>
  <c r="J56" i="9"/>
  <c r="K56" i="9" s="1"/>
  <c r="L56" i="9" s="1"/>
  <c r="J51" i="9"/>
  <c r="K51" i="9" s="1"/>
  <c r="L51" i="9" s="1"/>
  <c r="X13" i="9"/>
  <c r="N21" i="9"/>
  <c r="G22" i="9"/>
  <c r="J31" i="7"/>
  <c r="K18" i="6"/>
  <c r="M18" i="6" s="1"/>
  <c r="N18" i="6" s="1"/>
  <c r="R18" i="6" s="1"/>
  <c r="L55" i="6"/>
  <c r="N54" i="6"/>
  <c r="O54" i="6" s="1"/>
  <c r="R54" i="6" s="1"/>
  <c r="Q22" i="9" l="1"/>
  <c r="S21" i="9"/>
  <c r="R21" i="9"/>
  <c r="M10" i="9"/>
  <c r="K10" i="9"/>
  <c r="L10" i="9" s="1"/>
  <c r="M7" i="9"/>
  <c r="K7" i="9"/>
  <c r="L7" i="9" s="1"/>
  <c r="M8" i="9"/>
  <c r="K8" i="9"/>
  <c r="L8" i="9" s="1"/>
  <c r="M16" i="9"/>
  <c r="K16" i="9"/>
  <c r="L16" i="9" s="1"/>
  <c r="M19" i="9"/>
  <c r="K19" i="9"/>
  <c r="L19" i="9" s="1"/>
  <c r="M14" i="9"/>
  <c r="K14" i="9"/>
  <c r="L14" i="9" s="1"/>
  <c r="M17" i="9"/>
  <c r="K17" i="9"/>
  <c r="L17" i="9" s="1"/>
  <c r="M6" i="9"/>
  <c r="K6" i="9"/>
  <c r="L6" i="9" s="1"/>
  <c r="K21" i="9"/>
  <c r="L21" i="9" s="1"/>
  <c r="M5" i="9"/>
  <c r="K5" i="9"/>
  <c r="L5" i="9" s="1"/>
  <c r="M12" i="9"/>
  <c r="K12" i="9"/>
  <c r="L12" i="9" s="1"/>
  <c r="M20" i="9"/>
  <c r="K20" i="9"/>
  <c r="L20" i="9" s="1"/>
  <c r="M9" i="9"/>
  <c r="K9" i="9"/>
  <c r="L9" i="9" s="1"/>
  <c r="M13" i="9"/>
  <c r="K13" i="9"/>
  <c r="L13" i="9" s="1"/>
  <c r="M11" i="9"/>
  <c r="K11" i="9"/>
  <c r="L11" i="9" s="1"/>
  <c r="M15" i="9"/>
  <c r="AC22" i="9"/>
  <c r="K15" i="9"/>
  <c r="M18" i="9"/>
  <c r="K18" i="9"/>
  <c r="L18" i="9" s="1"/>
  <c r="S22" i="9"/>
  <c r="R22" i="9"/>
  <c r="P21" i="9"/>
  <c r="O21" i="9"/>
  <c r="K22" i="9"/>
  <c r="L22" i="9" s="1"/>
  <c r="N22" i="9"/>
  <c r="G23" i="9"/>
  <c r="Q23" i="9" s="1"/>
  <c r="J32" i="7"/>
  <c r="K19" i="6"/>
  <c r="M19" i="6" s="1"/>
  <c r="N19" i="6" s="1"/>
  <c r="R19" i="6" s="1"/>
  <c r="L56" i="6"/>
  <c r="N55" i="6"/>
  <c r="O55" i="6" s="1"/>
  <c r="R55" i="6" s="1"/>
  <c r="Q20" i="9" l="1"/>
  <c r="P20" i="9"/>
  <c r="O20" i="9"/>
  <c r="L15" i="9"/>
  <c r="X17" i="9" s="1"/>
  <c r="X16" i="9"/>
  <c r="Q14" i="9"/>
  <c r="P14" i="9"/>
  <c r="O14" i="9"/>
  <c r="Q9" i="9"/>
  <c r="O9" i="9"/>
  <c r="P9" i="9"/>
  <c r="Q18" i="9"/>
  <c r="O18" i="9"/>
  <c r="P18" i="9"/>
  <c r="Q19" i="9"/>
  <c r="P19" i="9"/>
  <c r="O19" i="9"/>
  <c r="Q12" i="9"/>
  <c r="P12" i="9"/>
  <c r="O12" i="9"/>
  <c r="Q16" i="9"/>
  <c r="O16" i="9"/>
  <c r="P16" i="9"/>
  <c r="Q15" i="9"/>
  <c r="O15" i="9"/>
  <c r="P15" i="9"/>
  <c r="Q5" i="9"/>
  <c r="P5" i="9"/>
  <c r="O5" i="9"/>
  <c r="Q8" i="9"/>
  <c r="P8" i="9"/>
  <c r="O8" i="9"/>
  <c r="Q11" i="9"/>
  <c r="P11" i="9"/>
  <c r="O11" i="9"/>
  <c r="Q6" i="9"/>
  <c r="O6" i="9"/>
  <c r="P6" i="9"/>
  <c r="Q7" i="9"/>
  <c r="O7" i="9"/>
  <c r="P7" i="9"/>
  <c r="Q13" i="9"/>
  <c r="O13" i="9"/>
  <c r="P13" i="9"/>
  <c r="Q17" i="9"/>
  <c r="O17" i="9"/>
  <c r="P17" i="9"/>
  <c r="Q10" i="9"/>
  <c r="P10" i="9"/>
  <c r="O10" i="9"/>
  <c r="S23" i="9"/>
  <c r="R23" i="9"/>
  <c r="P22" i="9"/>
  <c r="O22" i="9"/>
  <c r="K23" i="9"/>
  <c r="L23" i="9" s="1"/>
  <c r="N23" i="9"/>
  <c r="G24" i="9"/>
  <c r="Q24" i="9" s="1"/>
  <c r="J33" i="7"/>
  <c r="K20" i="6"/>
  <c r="M20" i="6" s="1"/>
  <c r="N20" i="6" s="1"/>
  <c r="R20" i="6" s="1"/>
  <c r="L57" i="6"/>
  <c r="N56" i="6"/>
  <c r="O56" i="6" s="1"/>
  <c r="R56" i="6" s="1"/>
  <c r="R14" i="9" l="1"/>
  <c r="S14" i="9"/>
  <c r="S11" i="9"/>
  <c r="R11" i="9"/>
  <c r="R17" i="9"/>
  <c r="S17" i="9"/>
  <c r="S13" i="9"/>
  <c r="R13" i="9"/>
  <c r="R19" i="9"/>
  <c r="S19" i="9"/>
  <c r="S16" i="9"/>
  <c r="R16" i="9"/>
  <c r="R8" i="9"/>
  <c r="S8" i="9"/>
  <c r="S9" i="9"/>
  <c r="R9" i="9"/>
  <c r="S12" i="9"/>
  <c r="R12" i="9"/>
  <c r="S7" i="9"/>
  <c r="R7" i="9"/>
  <c r="S5" i="9"/>
  <c r="R5" i="9"/>
  <c r="S10" i="9"/>
  <c r="R10" i="9"/>
  <c r="R6" i="9"/>
  <c r="S6" i="9"/>
  <c r="S15" i="9"/>
  <c r="R15" i="9"/>
  <c r="R18" i="9"/>
  <c r="S18" i="9"/>
  <c r="R20" i="9"/>
  <c r="S20" i="9"/>
  <c r="R24" i="9"/>
  <c r="S24" i="9"/>
  <c r="P23" i="9"/>
  <c r="O23" i="9"/>
  <c r="K24" i="9"/>
  <c r="L24" i="9" s="1"/>
  <c r="N24" i="9"/>
  <c r="G25" i="9"/>
  <c r="Q25" i="9" s="1"/>
  <c r="J34" i="7"/>
  <c r="K21" i="6"/>
  <c r="M21" i="6" s="1"/>
  <c r="N21" i="6" s="1"/>
  <c r="R21" i="6" s="1"/>
  <c r="L58" i="6"/>
  <c r="N57" i="6"/>
  <c r="O57" i="6" s="1"/>
  <c r="R57" i="6" s="1"/>
  <c r="R25" i="9" l="1"/>
  <c r="S25" i="9"/>
  <c r="K25" i="9"/>
  <c r="L25" i="9" s="1"/>
  <c r="N25" i="9"/>
  <c r="P24" i="9"/>
  <c r="O24" i="9"/>
  <c r="G26" i="9"/>
  <c r="Q26" i="9" s="1"/>
  <c r="J35" i="7"/>
  <c r="L59" i="6"/>
  <c r="N58" i="6"/>
  <c r="O58" i="6" s="1"/>
  <c r="R58" i="6" s="1"/>
  <c r="R26" i="9" l="1"/>
  <c r="S26" i="9"/>
  <c r="K26" i="9"/>
  <c r="L26" i="9" s="1"/>
  <c r="N26" i="9"/>
  <c r="O25" i="9"/>
  <c r="P25" i="9"/>
  <c r="G27" i="9"/>
  <c r="Q27" i="9" s="1"/>
  <c r="J36" i="7"/>
  <c r="L60" i="6"/>
  <c r="N59" i="6"/>
  <c r="O59" i="6" s="1"/>
  <c r="R59" i="6" s="1"/>
  <c r="S27" i="9" l="1"/>
  <c r="R27" i="9"/>
  <c r="K27" i="9"/>
  <c r="L27" i="9" s="1"/>
  <c r="N27" i="9"/>
  <c r="O26" i="9"/>
  <c r="P26" i="9"/>
  <c r="G28" i="9"/>
  <c r="Q28" i="9" s="1"/>
  <c r="J37" i="7"/>
  <c r="L61" i="6"/>
  <c r="N60" i="6"/>
  <c r="O60" i="6" s="1"/>
  <c r="R60" i="6" s="1"/>
  <c r="S28" i="9" l="1"/>
  <c r="R28" i="9"/>
  <c r="K28" i="9"/>
  <c r="L28" i="9" s="1"/>
  <c r="N28" i="9"/>
  <c r="O27" i="9"/>
  <c r="P27" i="9"/>
  <c r="G29" i="9"/>
  <c r="Q29" i="9" s="1"/>
  <c r="J38" i="7"/>
  <c r="L62" i="6"/>
  <c r="N61" i="6"/>
  <c r="O61" i="6" s="1"/>
  <c r="R61" i="6" s="1"/>
  <c r="R29" i="9" l="1"/>
  <c r="S29" i="9"/>
  <c r="K29" i="9"/>
  <c r="L29" i="9" s="1"/>
  <c r="N29" i="9"/>
  <c r="O28" i="9"/>
  <c r="P28" i="9"/>
  <c r="G30" i="9"/>
  <c r="Q30" i="9" s="1"/>
  <c r="J39" i="7"/>
  <c r="L63" i="6"/>
  <c r="N62" i="6"/>
  <c r="O62" i="6" s="1"/>
  <c r="R62" i="6" s="1"/>
  <c r="R30" i="9" l="1"/>
  <c r="S30" i="9"/>
  <c r="K30" i="9"/>
  <c r="L30" i="9" s="1"/>
  <c r="N30" i="9"/>
  <c r="O29" i="9"/>
  <c r="P29" i="9"/>
  <c r="G31" i="9"/>
  <c r="Q31" i="9" s="1"/>
  <c r="J40" i="7"/>
  <c r="L64" i="6"/>
  <c r="N63" i="6"/>
  <c r="O63" i="6" s="1"/>
  <c r="R63" i="6" s="1"/>
  <c r="R31" i="9" l="1"/>
  <c r="S31" i="9"/>
  <c r="K31" i="9"/>
  <c r="L31" i="9" s="1"/>
  <c r="N31" i="9"/>
  <c r="P30" i="9"/>
  <c r="O30" i="9"/>
  <c r="G32" i="9"/>
  <c r="Q32" i="9" s="1"/>
  <c r="J42" i="7"/>
  <c r="J41" i="7"/>
  <c r="L65" i="6"/>
  <c r="N64" i="6"/>
  <c r="O64" i="6" s="1"/>
  <c r="R64" i="6" s="1"/>
  <c r="R32" i="9" l="1"/>
  <c r="S32" i="9"/>
  <c r="K32" i="9"/>
  <c r="L32" i="9" s="1"/>
  <c r="N32" i="9"/>
  <c r="P31" i="9"/>
  <c r="O31" i="9"/>
  <c r="G33" i="9"/>
  <c r="Q33" i="9" s="1"/>
  <c r="L67" i="6"/>
  <c r="L66" i="6"/>
  <c r="N65" i="6"/>
  <c r="O65" i="6" s="1"/>
  <c r="R65" i="6" s="1"/>
  <c r="S33" i="9" l="1"/>
  <c r="R33" i="9"/>
  <c r="K33" i="9"/>
  <c r="L33" i="9" s="1"/>
  <c r="N33" i="9"/>
  <c r="P32" i="9"/>
  <c r="O32" i="9"/>
  <c r="G34" i="9"/>
  <c r="Q34" i="9" s="1"/>
  <c r="N66" i="6"/>
  <c r="O66" i="6" s="1"/>
  <c r="R66" i="6" s="1"/>
  <c r="L68" i="6"/>
  <c r="N67" i="6"/>
  <c r="O67" i="6" s="1"/>
  <c r="R67" i="6" s="1"/>
  <c r="S34" i="9" l="1"/>
  <c r="R34" i="9"/>
  <c r="K34" i="9"/>
  <c r="L34" i="9" s="1"/>
  <c r="N34" i="9"/>
  <c r="P33" i="9"/>
  <c r="O33" i="9"/>
  <c r="G35" i="9"/>
  <c r="Q35" i="9" s="1"/>
  <c r="N68" i="6"/>
  <c r="O68" i="6" s="1"/>
  <c r="R68" i="6" s="1"/>
  <c r="S35" i="9" l="1"/>
  <c r="R35" i="9"/>
  <c r="O34" i="9"/>
  <c r="P34" i="9"/>
  <c r="K35" i="9"/>
  <c r="L35" i="9" s="1"/>
  <c r="N35" i="9"/>
  <c r="G36" i="9"/>
  <c r="Q36" i="9" s="1"/>
  <c r="L9" i="1"/>
  <c r="L8" i="1"/>
  <c r="L7" i="1"/>
  <c r="L6" i="1"/>
  <c r="L5" i="1"/>
  <c r="L10" i="1"/>
  <c r="L11" i="1"/>
  <c r="L12" i="1"/>
  <c r="L13" i="1"/>
  <c r="L14" i="1"/>
  <c r="L15" i="1"/>
  <c r="L16" i="1"/>
  <c r="L17" i="1"/>
  <c r="M6" i="1"/>
  <c r="M7" i="1"/>
  <c r="M8" i="1"/>
  <c r="M9" i="1"/>
  <c r="M10" i="1"/>
  <c r="M11" i="1"/>
  <c r="M12" i="1"/>
  <c r="M13" i="1"/>
  <c r="M14" i="1"/>
  <c r="M15" i="1"/>
  <c r="M16" i="1"/>
  <c r="M17" i="1"/>
  <c r="K9" i="7" l="1"/>
  <c r="M5" i="1"/>
  <c r="N5" i="1" s="1"/>
  <c r="O4" i="1"/>
  <c r="V4" i="1" s="1"/>
  <c r="R36" i="9"/>
  <c r="S36" i="9"/>
  <c r="K36" i="9"/>
  <c r="L36" i="9" s="1"/>
  <c r="N36" i="9"/>
  <c r="O35" i="9"/>
  <c r="P35" i="9"/>
  <c r="G37" i="9"/>
  <c r="Q37" i="9" s="1"/>
  <c r="N11" i="1"/>
  <c r="K15" i="7"/>
  <c r="N10" i="1"/>
  <c r="K14" i="7"/>
  <c r="N9" i="1"/>
  <c r="I30" i="1" s="1"/>
  <c r="I31" i="1" s="1"/>
  <c r="I41" i="1" s="1"/>
  <c r="K13" i="7"/>
  <c r="N8" i="1"/>
  <c r="K12" i="7"/>
  <c r="N7" i="1"/>
  <c r="K11" i="7"/>
  <c r="N15" i="1"/>
  <c r="K19" i="7"/>
  <c r="N12" i="1"/>
  <c r="K16" i="7"/>
  <c r="N6" i="1"/>
  <c r="K10" i="7"/>
  <c r="N17" i="1"/>
  <c r="K21" i="7"/>
  <c r="K30" i="7"/>
  <c r="M30" i="7" s="1"/>
  <c r="N30" i="7" s="1"/>
  <c r="Q30" i="7" s="1"/>
  <c r="S30" i="7" s="1"/>
  <c r="M9" i="7"/>
  <c r="N14" i="1"/>
  <c r="K18" i="7"/>
  <c r="N13" i="1"/>
  <c r="K17" i="7"/>
  <c r="N16" i="1"/>
  <c r="K20" i="7"/>
  <c r="N9" i="7" l="1"/>
  <c r="Q9" i="7" s="1"/>
  <c r="W4" i="1"/>
  <c r="O16" i="1"/>
  <c r="U16" i="1" s="1"/>
  <c r="W16" i="1" s="1"/>
  <c r="S16" i="1"/>
  <c r="T16" i="1" s="1"/>
  <c r="O15" i="1"/>
  <c r="U15" i="1" s="1"/>
  <c r="W15" i="1" s="1"/>
  <c r="S15" i="1"/>
  <c r="T15" i="1" s="1"/>
  <c r="O11" i="1"/>
  <c r="U11" i="1" s="1"/>
  <c r="W11" i="1" s="1"/>
  <c r="S11" i="1"/>
  <c r="T11" i="1" s="1"/>
  <c r="O14" i="1"/>
  <c r="U14" i="1" s="1"/>
  <c r="V14" i="1" s="1"/>
  <c r="S14" i="1"/>
  <c r="T14" i="1" s="1"/>
  <c r="O7" i="1"/>
  <c r="U7" i="1" s="1"/>
  <c r="W7" i="1" s="1"/>
  <c r="S7" i="1"/>
  <c r="T7" i="1" s="1"/>
  <c r="O8" i="1"/>
  <c r="U8" i="1" s="1"/>
  <c r="V8" i="1" s="1"/>
  <c r="S8" i="1"/>
  <c r="T8" i="1" s="1"/>
  <c r="O17" i="1"/>
  <c r="S17" i="1"/>
  <c r="T17" i="1" s="1"/>
  <c r="O5" i="1"/>
  <c r="S5" i="1"/>
  <c r="T5" i="1" s="1"/>
  <c r="U9" i="1"/>
  <c r="S9" i="1"/>
  <c r="O12" i="1"/>
  <c r="U12" i="1" s="1"/>
  <c r="V12" i="1" s="1"/>
  <c r="S12" i="1"/>
  <c r="T12" i="1" s="1"/>
  <c r="O13" i="1"/>
  <c r="U13" i="1" s="1"/>
  <c r="V13" i="1" s="1"/>
  <c r="S13" i="1"/>
  <c r="T13" i="1" s="1"/>
  <c r="O6" i="1"/>
  <c r="U6" i="1" s="1"/>
  <c r="W6" i="1" s="1"/>
  <c r="S6" i="1"/>
  <c r="T6" i="1" s="1"/>
  <c r="O10" i="1"/>
  <c r="U10" i="1" s="1"/>
  <c r="W10" i="1" s="1"/>
  <c r="S10" i="1"/>
  <c r="T10" i="1" s="1"/>
  <c r="V16" i="1"/>
  <c r="Q10" i="1"/>
  <c r="S37" i="9"/>
  <c r="R37" i="9"/>
  <c r="P36" i="9"/>
  <c r="O36" i="9"/>
  <c r="K37" i="9"/>
  <c r="L37" i="9" s="1"/>
  <c r="N37" i="9"/>
  <c r="G38" i="9"/>
  <c r="Q38" i="9" s="1"/>
  <c r="M12" i="7"/>
  <c r="N12" i="7" s="1"/>
  <c r="Q12" i="7" s="1"/>
  <c r="S12" i="7" s="1"/>
  <c r="K33" i="7"/>
  <c r="M33" i="7" s="1"/>
  <c r="N33" i="7" s="1"/>
  <c r="Q33" i="7" s="1"/>
  <c r="S33" i="7" s="1"/>
  <c r="K34" i="7"/>
  <c r="M34" i="7" s="1"/>
  <c r="N34" i="7" s="1"/>
  <c r="Q34" i="7" s="1"/>
  <c r="S34" i="7" s="1"/>
  <c r="M13" i="7"/>
  <c r="N13" i="7" s="1"/>
  <c r="Q13" i="7" s="1"/>
  <c r="S13" i="7" s="1"/>
  <c r="K32" i="7"/>
  <c r="M32" i="7" s="1"/>
  <c r="N32" i="7" s="1"/>
  <c r="Q32" i="7" s="1"/>
  <c r="S32" i="7" s="1"/>
  <c r="M11" i="7"/>
  <c r="N11" i="7" s="1"/>
  <c r="Q11" i="7" s="1"/>
  <c r="S11" i="7" s="1"/>
  <c r="M21" i="7"/>
  <c r="K42" i="7"/>
  <c r="M42" i="7" s="1"/>
  <c r="M20" i="7"/>
  <c r="N20" i="7" s="1"/>
  <c r="Q20" i="7" s="1"/>
  <c r="S20" i="7" s="1"/>
  <c r="K41" i="7"/>
  <c r="M41" i="7" s="1"/>
  <c r="N41" i="7" s="1"/>
  <c r="Q41" i="7" s="1"/>
  <c r="S41" i="7" s="1"/>
  <c r="K40" i="7"/>
  <c r="M40" i="7" s="1"/>
  <c r="N40" i="7" s="1"/>
  <c r="Q40" i="7" s="1"/>
  <c r="S40" i="7" s="1"/>
  <c r="M19" i="7"/>
  <c r="N19" i="7" s="1"/>
  <c r="Q19" i="7" s="1"/>
  <c r="S19" i="7" s="1"/>
  <c r="K35" i="7"/>
  <c r="M35" i="7" s="1"/>
  <c r="N35" i="7" s="1"/>
  <c r="Q35" i="7" s="1"/>
  <c r="S35" i="7" s="1"/>
  <c r="M14" i="7"/>
  <c r="N14" i="7" s="1"/>
  <c r="Q14" i="7" s="1"/>
  <c r="S14" i="7" s="1"/>
  <c r="K37" i="7"/>
  <c r="M37" i="7" s="1"/>
  <c r="N37" i="7" s="1"/>
  <c r="Q37" i="7" s="1"/>
  <c r="S37" i="7" s="1"/>
  <c r="M16" i="7"/>
  <c r="N16" i="7" s="1"/>
  <c r="Q16" i="7" s="1"/>
  <c r="S16" i="7" s="1"/>
  <c r="K36" i="7"/>
  <c r="M36" i="7" s="1"/>
  <c r="N36" i="7" s="1"/>
  <c r="Q36" i="7" s="1"/>
  <c r="S36" i="7" s="1"/>
  <c r="M15" i="7"/>
  <c r="N15" i="7" s="1"/>
  <c r="Q15" i="7" s="1"/>
  <c r="S15" i="7" s="1"/>
  <c r="K39" i="7"/>
  <c r="M39" i="7" s="1"/>
  <c r="N39" i="7" s="1"/>
  <c r="Q39" i="7" s="1"/>
  <c r="S39" i="7" s="1"/>
  <c r="M18" i="7"/>
  <c r="N18" i="7" s="1"/>
  <c r="Q18" i="7" s="1"/>
  <c r="S18" i="7" s="1"/>
  <c r="K31" i="7"/>
  <c r="M31" i="7" s="1"/>
  <c r="N31" i="7" s="1"/>
  <c r="Q31" i="7" s="1"/>
  <c r="S31" i="7" s="1"/>
  <c r="M10" i="7"/>
  <c r="N10" i="7" s="1"/>
  <c r="Q10" i="7" s="1"/>
  <c r="S10" i="7" s="1"/>
  <c r="M17" i="7"/>
  <c r="N17" i="7" s="1"/>
  <c r="Q17" i="7" s="1"/>
  <c r="S17" i="7" s="1"/>
  <c r="K38" i="7"/>
  <c r="M38" i="7" s="1"/>
  <c r="N38" i="7" s="1"/>
  <c r="Q38" i="7" s="1"/>
  <c r="S38" i="7" s="1"/>
  <c r="S9" i="7" l="1"/>
  <c r="V10" i="1"/>
  <c r="Q15" i="1"/>
  <c r="Q14" i="1"/>
  <c r="Q11" i="1"/>
  <c r="W14" i="1"/>
  <c r="W13" i="1"/>
  <c r="D36" i="1"/>
  <c r="T9" i="1"/>
  <c r="Q12" i="1"/>
  <c r="V11" i="1"/>
  <c r="Q16" i="1"/>
  <c r="V15" i="1"/>
  <c r="Q13" i="1"/>
  <c r="W12" i="1"/>
  <c r="V7" i="1"/>
  <c r="W8" i="1"/>
  <c r="Q7" i="1"/>
  <c r="Q6" i="1"/>
  <c r="V6" i="1"/>
  <c r="W9" i="1"/>
  <c r="V9" i="1"/>
  <c r="Q8" i="1"/>
  <c r="U5" i="1"/>
  <c r="Q5" i="1"/>
  <c r="Q9" i="1"/>
  <c r="U17" i="1"/>
  <c r="Q17" i="1"/>
  <c r="R38" i="9"/>
  <c r="S38" i="9"/>
  <c r="K38" i="9"/>
  <c r="L38" i="9" s="1"/>
  <c r="N38" i="9"/>
  <c r="P37" i="9"/>
  <c r="O37" i="9"/>
  <c r="G39" i="9"/>
  <c r="Q39" i="9" s="1"/>
  <c r="N42" i="7"/>
  <c r="Q42" i="7" s="1"/>
  <c r="S42" i="7" s="1"/>
  <c r="W5" i="1" l="1"/>
  <c r="V5" i="1"/>
  <c r="V17" i="1"/>
  <c r="W17" i="1"/>
  <c r="S39" i="9"/>
  <c r="R39" i="9"/>
  <c r="K39" i="9"/>
  <c r="L39" i="9" s="1"/>
  <c r="N39" i="9"/>
  <c r="O38" i="9"/>
  <c r="P38" i="9"/>
  <c r="G40" i="9"/>
  <c r="Q40" i="9" s="1"/>
  <c r="N21" i="7"/>
  <c r="Q21" i="7" s="1"/>
  <c r="S21" i="7" s="1"/>
  <c r="S40" i="9" l="1"/>
  <c r="R40" i="9"/>
  <c r="O39" i="9"/>
  <c r="P39" i="9"/>
  <c r="K40" i="9"/>
  <c r="L40" i="9" s="1"/>
  <c r="N40" i="9"/>
  <c r="G41" i="9"/>
  <c r="Q41" i="9" s="1"/>
  <c r="R41" i="9" l="1"/>
  <c r="S41" i="9"/>
  <c r="K41" i="9"/>
  <c r="L41" i="9" s="1"/>
  <c r="N41" i="9"/>
  <c r="O40" i="9"/>
  <c r="P40" i="9"/>
  <c r="G42" i="9"/>
  <c r="Q42" i="9" s="1"/>
  <c r="R42" i="9" l="1"/>
  <c r="S42" i="9"/>
  <c r="K42" i="9"/>
  <c r="L42" i="9" s="1"/>
  <c r="N42" i="9"/>
  <c r="O41" i="9"/>
  <c r="P41" i="9"/>
  <c r="G43" i="9"/>
  <c r="Q43" i="9" s="1"/>
  <c r="R43" i="9" l="1"/>
  <c r="S43" i="9"/>
  <c r="K43" i="9"/>
  <c r="L43" i="9" s="1"/>
  <c r="N43" i="9"/>
  <c r="P42" i="9"/>
  <c r="O42" i="9"/>
  <c r="G44" i="9"/>
  <c r="Q44" i="9" s="1"/>
  <c r="S44" i="9" l="1"/>
  <c r="R44" i="9"/>
  <c r="K44" i="9"/>
  <c r="L44" i="9" s="1"/>
  <c r="N44" i="9"/>
  <c r="P43" i="9"/>
  <c r="O43" i="9"/>
  <c r="O44" i="9" l="1"/>
  <c r="P44" i="9"/>
  <c r="R9" i="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MAHEK KATHURIA</author>
  </authors>
  <commentList>
    <comment ref="J3" authorId="0" shapeId="0" xr:uid="{7DDF36F1-25AE-4363-A186-3204CFE5F2D1}">
      <text>
        <r>
          <rPr>
            <b/>
            <sz val="9"/>
            <color indexed="81"/>
            <rFont val="Tahoma"/>
            <family val="2"/>
          </rPr>
          <t>MAHEK KATHURIA:</t>
        </r>
        <r>
          <rPr>
            <sz val="9"/>
            <color indexed="81"/>
            <rFont val="Tahoma"/>
            <family val="2"/>
          </rPr>
          <t xml:space="preserve">
https://fred.stlouisfed.org/series/DGS1MO </t>
        </r>
      </text>
    </comment>
    <comment ref="I29" authorId="0" shapeId="0" xr:uid="{C7BCFFA2-7938-452D-9FDA-33A43258E861}">
      <text>
        <r>
          <rPr>
            <b/>
            <sz val="9"/>
            <color indexed="81"/>
            <rFont val="Tahoma"/>
            <family val="2"/>
          </rPr>
          <t>MAHEK KATHURIA:</t>
        </r>
        <r>
          <rPr>
            <sz val="9"/>
            <color indexed="81"/>
            <rFont val="Tahoma"/>
            <family val="2"/>
          </rPr>
          <t xml:space="preserve">
 This is the arbitrage profit per contract, assuming no transaction costs.</t>
        </r>
      </text>
    </comment>
    <comment ref="G33" authorId="0" shapeId="0" xr:uid="{0707CFC9-FB60-4956-9D93-4572B3A0A24C}">
      <text>
        <r>
          <rPr>
            <b/>
            <sz val="9"/>
            <color indexed="81"/>
            <rFont val="Tahoma"/>
            <family val="2"/>
          </rPr>
          <t>MAHEK KATHURIA:</t>
        </r>
        <r>
          <rPr>
            <sz val="9"/>
            <color indexed="81"/>
            <rFont val="Tahoma"/>
            <family val="2"/>
          </rPr>
          <t xml:space="preserve">
At expiration, when S&lt;K  (i.e., 𝑆 = 96.31), the put option is exercised, allowing the short position to be covered at $96.31 (Closing stock at 15th Nov), which generates a net payoff equal to the initial cash inflow. This validates that the strategy is correctly designed and effectively addresses the overpriced scenario.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tc={10B80B8B-DEC5-4E73-A8D1-C07FBC674C1E}</author>
  </authors>
  <commentList>
    <comment ref="X10" authorId="0" shapeId="0" xr:uid="{10B80B8B-DEC5-4E73-A8D1-C07FBC674C1E}">
      <text>
        <t>[Threaded comment]
Your version of Excel allows you to read this threaded comment; however, any edits to it will get removed if the file is opened in a newer version of Excel. Learn more: https://go.microsoft.com/fwlink/?linkid=870924
Comment:
    Add link</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MAHEK KATHURIA</author>
  </authors>
  <commentList>
    <comment ref="P7" authorId="0" shapeId="0" xr:uid="{8B00949F-35E6-4354-8CE6-323160311CFF}">
      <text>
        <r>
          <rPr>
            <b/>
            <sz val="9"/>
            <color indexed="81"/>
            <rFont val="Tahoma"/>
            <family val="2"/>
          </rPr>
          <t>MAHEK KATHURIA:</t>
        </r>
        <r>
          <rPr>
            <sz val="9"/>
            <color indexed="81"/>
            <rFont val="Tahoma"/>
            <family val="2"/>
          </rPr>
          <t xml:space="preserve">
Solved using Goal seek
</t>
        </r>
      </text>
    </comment>
    <comment ref="P28" authorId="0" shapeId="0" xr:uid="{FEF6437B-9ED3-4C78-910E-1D05AABAE076}">
      <text>
        <r>
          <rPr>
            <b/>
            <sz val="9"/>
            <color indexed="81"/>
            <rFont val="Tahoma"/>
            <family val="2"/>
          </rPr>
          <t>MAHEK KATHURIA:</t>
        </r>
        <r>
          <rPr>
            <sz val="9"/>
            <color indexed="81"/>
            <rFont val="Tahoma"/>
            <family val="2"/>
          </rPr>
          <t xml:space="preserve">
Solved using Goal Seek</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MAHEK KATHURIA</author>
  </authors>
  <commentList>
    <comment ref="N7" authorId="0" shapeId="0" xr:uid="{64C66924-882E-4F97-8C3C-23ADA4C8ECCE}">
      <text>
        <r>
          <rPr>
            <b/>
            <sz val="9"/>
            <color indexed="81"/>
            <rFont val="Tahoma"/>
            <family val="2"/>
          </rPr>
          <t>MAHEK KATHURIA:</t>
        </r>
        <r>
          <rPr>
            <sz val="9"/>
            <color indexed="81"/>
            <rFont val="Tahoma"/>
            <family val="2"/>
          </rPr>
          <t xml:space="preserve">
Number of contracts assumed. </t>
        </r>
      </text>
    </comment>
    <comment ref="O7" authorId="0" shapeId="0" xr:uid="{5EAA46E5-6BC9-47B9-A100-B8B200D80EBC}">
      <text>
        <r>
          <rPr>
            <b/>
            <sz val="9"/>
            <color indexed="81"/>
            <rFont val="Tahoma"/>
            <family val="2"/>
          </rPr>
          <t>MAHEK KATHURIA:</t>
        </r>
        <r>
          <rPr>
            <sz val="9"/>
            <color indexed="81"/>
            <rFont val="Tahoma"/>
            <family val="2"/>
          </rPr>
          <t xml:space="preserve">
Shares per contract (100) multiplied with contracts
</t>
        </r>
      </text>
    </comment>
    <comment ref="R7" authorId="0" shapeId="0" xr:uid="{8FC14B24-D20A-49BB-B915-A33FC6182B64}">
      <text>
        <r>
          <rPr>
            <b/>
            <sz val="9"/>
            <color indexed="81"/>
            <rFont val="Tahoma"/>
            <family val="2"/>
          </rPr>
          <t>MAHEK KATHURIA:</t>
        </r>
        <r>
          <rPr>
            <sz val="9"/>
            <color indexed="81"/>
            <rFont val="Tahoma"/>
            <family val="2"/>
          </rPr>
          <t xml:space="preserve">
The minimum shares needed to hedge </t>
        </r>
      </text>
    </comment>
    <comment ref="S7" authorId="0" shapeId="0" xr:uid="{F3C77C98-F49E-4CC3-B467-893E9F67612C}">
      <text>
        <r>
          <rPr>
            <b/>
            <sz val="9"/>
            <color indexed="81"/>
            <rFont val="Tahoma"/>
            <family val="2"/>
          </rPr>
          <t>MAHEK KATHURIA:</t>
        </r>
        <r>
          <rPr>
            <sz val="9"/>
            <color indexed="81"/>
            <rFont val="Tahoma"/>
            <family val="2"/>
          </rPr>
          <t xml:space="preserve">
After analyzing the stocks required to be hedged for that trading day, we buy or sell stocks</t>
        </r>
      </text>
    </comment>
    <comment ref="N23" authorId="0" shapeId="0" xr:uid="{8E500B30-C23B-4CF1-9D8F-5B7A991A684F}">
      <text>
        <r>
          <rPr>
            <b/>
            <sz val="9"/>
            <color indexed="81"/>
            <rFont val="Tahoma"/>
            <family val="2"/>
          </rPr>
          <t>MAHEK KATHURIA:</t>
        </r>
        <r>
          <rPr>
            <sz val="9"/>
            <color indexed="81"/>
            <rFont val="Tahoma"/>
            <family val="2"/>
          </rPr>
          <t xml:space="preserve">
Number of contracts assumed. </t>
        </r>
      </text>
    </comment>
    <comment ref="O23" authorId="0" shapeId="0" xr:uid="{31FF877F-B158-4E2B-A421-EF2C72070000}">
      <text>
        <r>
          <rPr>
            <b/>
            <sz val="9"/>
            <color indexed="81"/>
            <rFont val="Tahoma"/>
            <family val="2"/>
          </rPr>
          <t>MAHEK KATHURIA:</t>
        </r>
        <r>
          <rPr>
            <sz val="9"/>
            <color indexed="81"/>
            <rFont val="Tahoma"/>
            <family val="2"/>
          </rPr>
          <t xml:space="preserve">
Shares per contract (100) multiplied with contracts
</t>
        </r>
      </text>
    </comment>
    <comment ref="R23" authorId="0" shapeId="0" xr:uid="{13D61497-3C7B-45C3-9A6F-C97CA1BD490B}">
      <text>
        <r>
          <rPr>
            <b/>
            <sz val="9"/>
            <color indexed="81"/>
            <rFont val="Tahoma"/>
            <family val="2"/>
          </rPr>
          <t>MAHEK KATHURIA:</t>
        </r>
        <r>
          <rPr>
            <sz val="9"/>
            <color indexed="81"/>
            <rFont val="Tahoma"/>
            <family val="2"/>
          </rPr>
          <t xml:space="preserve">
The minimum shares needed to hedge </t>
        </r>
      </text>
    </comment>
    <comment ref="S23" authorId="0" shapeId="0" xr:uid="{62B56B10-0AC8-48F0-BA25-16CD429CEF64}">
      <text>
        <r>
          <rPr>
            <b/>
            <sz val="9"/>
            <color indexed="81"/>
            <rFont val="Tahoma"/>
            <family val="2"/>
          </rPr>
          <t>MAHEK KATHURIA:</t>
        </r>
        <r>
          <rPr>
            <sz val="9"/>
            <color indexed="81"/>
            <rFont val="Tahoma"/>
            <family val="2"/>
          </rPr>
          <t xml:space="preserve">
After analyzing the stocks required to be hedged for that trading day, we buy or sell stocks</t>
        </r>
      </text>
    </comment>
  </commentList>
</comments>
</file>

<file path=xl/sharedStrings.xml><?xml version="1.0" encoding="utf-8"?>
<sst xmlns="http://schemas.openxmlformats.org/spreadsheetml/2006/main" count="1537" uniqueCount="496">
  <si>
    <t>CALLS (Implied Volatallity)</t>
  </si>
  <si>
    <t>Contract Name</t>
  </si>
  <si>
    <t>Volume</t>
  </si>
  <si>
    <t>STOCK
Price</t>
  </si>
  <si>
    <t>STRIKE
Price</t>
  </si>
  <si>
    <t>Last 
Price</t>
  </si>
  <si>
    <t>Bid</t>
  </si>
  <si>
    <t>Ask</t>
  </si>
  <si>
    <t>Risk Free Rate</t>
  </si>
  <si>
    <t>Dividend 
Yield</t>
  </si>
  <si>
    <t>Term 
(10 Days)</t>
  </si>
  <si>
    <t>Mid Price</t>
  </si>
  <si>
    <t>d1</t>
  </si>
  <si>
    <t>d2</t>
  </si>
  <si>
    <t>Implied Volatility
(Yahoo Finance)</t>
  </si>
  <si>
    <t>Implied Volatality (σ)
(Calculated)</t>
  </si>
  <si>
    <t>Call Price
(Black-Scholes)</t>
  </si>
  <si>
    <t>MRK 11/15/24 C95</t>
  </si>
  <si>
    <t>MRK 11/15/24 C98</t>
  </si>
  <si>
    <t>MRK 11/15/24 C99</t>
  </si>
  <si>
    <t>MRK 11/15/24 C100</t>
  </si>
  <si>
    <t>MRK 11/15/24 C101</t>
  </si>
  <si>
    <t>MRK 11/15/24 C102</t>
  </si>
  <si>
    <t>MRK 11/15/24 C103</t>
  </si>
  <si>
    <t>MRK 11/15/24 C104</t>
  </si>
  <si>
    <t>MRK 11/15/24 C105</t>
  </si>
  <si>
    <t>MRK 11/15/24 C106</t>
  </si>
  <si>
    <t>MRK 11/15/24 C107</t>
  </si>
  <si>
    <t>MRK 11/15/24 C110</t>
  </si>
  <si>
    <t>MRK 11/15/24 C114</t>
  </si>
  <si>
    <t>MRK 11/15/24 C130</t>
  </si>
  <si>
    <t>PUT (Implied Volatallity)</t>
  </si>
  <si>
    <t>Last Trade Date (EDT)</t>
  </si>
  <si>
    <t>SPOT 
Price</t>
  </si>
  <si>
    <t>Last Price</t>
  </si>
  <si>
    <t>Implied Volatility</t>
  </si>
  <si>
    <t>A. PUT-CALL Parity for all Options as on November 5, 2024</t>
  </si>
  <si>
    <t xml:space="preserve">Arbitrage Strategy </t>
  </si>
  <si>
    <t>Option Symbol</t>
  </si>
  <si>
    <t xml:space="preserve">Option  Date
</t>
  </si>
  <si>
    <t>Trading Volume</t>
  </si>
  <si>
    <t>Call Price( Bid and ask Average) ( C )</t>
  </si>
  <si>
    <t>Put Price (P) ( Bid and ask Average)\</t>
  </si>
  <si>
    <t>Stock Price/ Spot Price (S)</t>
  </si>
  <si>
    <t>Strike Price (K)</t>
  </si>
  <si>
    <t>Risk-Free Rate  ( R )</t>
  </si>
  <si>
    <t>(t)=Time to Maturity (15-6=9/252)</t>
  </si>
  <si>
    <t>S+P</t>
  </si>
  <si>
    <t>e^(-r*t)</t>
  </si>
  <si>
    <t xml:space="preserve">K*e^(-rt) </t>
  </si>
  <si>
    <t>C+K*e^-rt</t>
  </si>
  <si>
    <t>Violation of Put-Call parity</t>
  </si>
  <si>
    <t>Difference</t>
  </si>
  <si>
    <t>C-P</t>
  </si>
  <si>
    <t>Theoretical Value of Put Option P=C+K*e^-rt-S</t>
  </si>
  <si>
    <t>S+P&gt;C+K⋅e ^−r(T−t) (OVERVALUED)</t>
  </si>
  <si>
    <t>S+P&lt;C+K⋅e ^−r(T−t) (UNDERVALUED)</t>
  </si>
  <si>
    <t>MRK 11/15/24 P95</t>
  </si>
  <si>
    <t>MRK 11/15/24 P98</t>
  </si>
  <si>
    <t>MRK 11/15/24 P99</t>
  </si>
  <si>
    <t>MRK 11/15/24 P100</t>
  </si>
  <si>
    <t>MRK 11/15/24 P101</t>
  </si>
  <si>
    <t>MRK 11/15/24 P102</t>
  </si>
  <si>
    <t>MRK 11/15/24 P103</t>
  </si>
  <si>
    <t>MRK 11/15/24 P104</t>
  </si>
  <si>
    <t>MRK 11/15/24 P105</t>
  </si>
  <si>
    <t>MRK 11/15/24 P106</t>
  </si>
  <si>
    <t>MRK 11/15/24 P107</t>
  </si>
  <si>
    <t>MRK 11/15/24 P110</t>
  </si>
  <si>
    <t>MRK 11/15/24 P114</t>
  </si>
  <si>
    <t>MRK 11/15/24 P130</t>
  </si>
  <si>
    <t>#Arbitrage Strategy Analysis for MRK 11/15/24 C102: Validating Overpriced Option via Put-Call Parity</t>
  </si>
  <si>
    <t>Category</t>
  </si>
  <si>
    <t>Parameter</t>
  </si>
  <si>
    <t>Value</t>
  </si>
  <si>
    <t>Factors Impacting Arbitrage Feasibility:</t>
  </si>
  <si>
    <t>Put-Call Parity Relationship</t>
  </si>
  <si>
    <t>C − P = S− K*e^−r(T−t)</t>
  </si>
  <si>
    <t>Alternatively formula can be written as   S+P = C+ K*e^−r(T−t)</t>
  </si>
  <si>
    <t>Situation</t>
  </si>
  <si>
    <t>Risks to Arbitrage</t>
  </si>
  <si>
    <r>
      <rPr>
        <b/>
        <sz val="10"/>
        <color theme="1"/>
        <rFont val="Arial"/>
        <family val="2"/>
      </rPr>
      <t>1.</t>
    </r>
    <r>
      <rPr>
        <b/>
        <u/>
        <sz val="10"/>
        <color theme="1"/>
        <rFont val="Arial"/>
        <family val="2"/>
      </rPr>
      <t xml:space="preserve"> Execution Risk</t>
    </r>
    <r>
      <rPr>
        <b/>
        <sz val="10"/>
        <color theme="1"/>
        <rFont val="Arial"/>
        <family val="2"/>
      </rPr>
      <t xml:space="preserve">s - </t>
    </r>
    <r>
      <rPr>
        <sz val="10"/>
        <color theme="1"/>
        <rFont val="Arial"/>
        <family val="2"/>
      </rPr>
      <t>Arbitrage depends on the simultaneous execution of several trades. Any delay might lead to price fluctuations, negating potential gains 
sanction Cost - Brokerage fees and bid-ask spreads can quickly erode small profits.</t>
    </r>
  </si>
  <si>
    <r>
      <t>C−P (Observed) &lt; S−K*e^−r(T−t) (Theoretical)</t>
    </r>
    <r>
      <rPr>
        <i/>
        <sz val="10"/>
        <color theme="1"/>
        <rFont val="Arial"/>
        <family val="2"/>
      </rPr>
      <t xml:space="preserve"> → </t>
    </r>
    <r>
      <rPr>
        <b/>
        <i/>
        <sz val="10"/>
        <color theme="1"/>
        <rFont val="Arial"/>
        <family val="2"/>
      </rPr>
      <t>Overpriced Scenario</t>
    </r>
  </si>
  <si>
    <t>Results</t>
  </si>
  <si>
    <t xml:space="preserve"> Overpriced Scenario</t>
  </si>
  <si>
    <r>
      <t xml:space="preserve">2. </t>
    </r>
    <r>
      <rPr>
        <b/>
        <u/>
        <sz val="10"/>
        <color theme="1"/>
        <rFont val="Arial"/>
        <family val="2"/>
      </rPr>
      <t>Transaction Costs</t>
    </r>
    <r>
      <rPr>
        <b/>
        <sz val="10"/>
        <color theme="1"/>
        <rFont val="Arial"/>
        <family val="2"/>
      </rPr>
      <t xml:space="preserve"> -</t>
    </r>
    <r>
      <rPr>
        <sz val="10"/>
        <color theme="1"/>
        <rFont val="Arial"/>
        <family val="2"/>
      </rPr>
      <t xml:space="preserve"> Fees from brokers and the difference between bid and ask prices can quickly diminish small profit margins.</t>
    </r>
  </si>
  <si>
    <t>Market Data on November 5, 2024</t>
  </si>
  <si>
    <t>Price of the CALL Option (C)</t>
  </si>
  <si>
    <t>C−P (Observed) &gt; S−K*e^−r(T−t) (Theoretical) → Underpriced Scenario</t>
  </si>
  <si>
    <r>
      <rPr>
        <b/>
        <sz val="10"/>
        <color theme="1"/>
        <rFont val="Arial"/>
        <family val="2"/>
      </rPr>
      <t xml:space="preserve">3. </t>
    </r>
    <r>
      <rPr>
        <b/>
        <u/>
        <sz val="10"/>
        <color theme="1"/>
        <rFont val="Arial"/>
        <family val="2"/>
      </rPr>
      <t>European Options</t>
    </r>
    <r>
      <rPr>
        <b/>
        <sz val="10"/>
        <color theme="1"/>
        <rFont val="Arial"/>
        <family val="2"/>
      </rPr>
      <t xml:space="preserve"> -</t>
    </r>
    <r>
      <rPr>
        <sz val="10"/>
        <color theme="1"/>
        <rFont val="Arial"/>
        <family val="2"/>
      </rPr>
      <t xml:space="preserve"> This analysis is based on European-style options. In contrast, American-style options, which can be exercised anytime, may interfere with the strategy.</t>
    </r>
  </si>
  <si>
    <t>Price of the PUT Option (P)</t>
  </si>
  <si>
    <t>Arbitrage Strategy</t>
  </si>
  <si>
    <r>
      <rPr>
        <b/>
        <u/>
        <sz val="10"/>
        <color theme="1"/>
        <rFont val="Arial"/>
        <family val="2"/>
      </rPr>
      <t>A.</t>
    </r>
    <r>
      <rPr>
        <u/>
        <sz val="10"/>
        <color theme="1"/>
        <rFont val="Arial"/>
        <family val="2"/>
      </rPr>
      <t xml:space="preserve"> Initial Cash Flow:</t>
    </r>
  </si>
  <si>
    <r>
      <t>4.</t>
    </r>
    <r>
      <rPr>
        <sz val="10"/>
        <color theme="1"/>
        <rFont val="Arial"/>
        <family val="2"/>
      </rPr>
      <t xml:space="preserve"> </t>
    </r>
    <r>
      <rPr>
        <b/>
        <u/>
        <sz val="10"/>
        <color theme="1"/>
        <rFont val="Arial"/>
        <family val="2"/>
      </rPr>
      <t>Liquidity</t>
    </r>
    <r>
      <rPr>
        <b/>
        <sz val="10"/>
        <color theme="1"/>
        <rFont val="Arial"/>
        <family val="2"/>
      </rPr>
      <t xml:space="preserve"> -</t>
    </r>
    <r>
      <rPr>
        <sz val="10"/>
        <color theme="1"/>
        <rFont val="Arial"/>
        <family val="2"/>
      </rPr>
      <t xml:space="preserve"> Low open interest and trading volume for some options can increase the risk of slippage or incomplete transactions.</t>
    </r>
  </si>
  <si>
    <t>Current Stock Price (S)</t>
  </si>
  <si>
    <t>Buy Call</t>
  </si>
  <si>
    <t>Strike Price of the Option (K)</t>
  </si>
  <si>
    <t>Sell Put</t>
  </si>
  <si>
    <t>Risk-Free Interest Rate (r)</t>
  </si>
  <si>
    <t>Short Stock</t>
  </si>
  <si>
    <t>Time to Expiration (T-t)</t>
  </si>
  <si>
    <t>Invest in Bonds (PV of Strike Price)</t>
  </si>
  <si>
    <t>Constant e</t>
  </si>
  <si>
    <t>Net Initial Cash Flow</t>
  </si>
  <si>
    <t>Discounted Strike Price</t>
  </si>
  <si>
    <t>{PV(K) = K*e^−r(T−t)}</t>
  </si>
  <si>
    <t>(102)*e^(-4.6975%*0.035714)</t>
  </si>
  <si>
    <t>Underlying Price as of November 15, 2024</t>
  </si>
  <si>
    <t>Empirical Value</t>
  </si>
  <si>
    <t>[ C - P ]</t>
  </si>
  <si>
    <t>Net Payoff</t>
  </si>
  <si>
    <t>Model Value</t>
  </si>
  <si>
    <t xml:space="preserve"> [ S - K*e^−r(T−t) ]</t>
  </si>
  <si>
    <t xml:space="preserve">Arbitrage Strategy (At Expiration)
When my Stock price (S) &lt; Strike Price (K), we can exercise the put and sell the at K (102). 
This strategy allows us to cover the short position(96.31). The bonds will mature to K(102), ensuring sufficient funds are maintained to cover all liabilities.
Thus, The call expires worthless, avoiding additional costs
</t>
  </si>
  <si>
    <t>PUT-CALL Parity Violation</t>
  </si>
  <si>
    <t xml:space="preserve"> [ Deviation ]</t>
  </si>
  <si>
    <t>Potential Arbitrage Opportunity</t>
  </si>
  <si>
    <t>Option Arbitrage Strategies:  Steps for Overpriced and Underpriced Scenarios</t>
  </si>
  <si>
    <t>Scenario</t>
  </si>
  <si>
    <t>Step and Description</t>
  </si>
  <si>
    <t>Overpriced Stock (S + P &gt; C + K⋅e^−r(T−t))</t>
  </si>
  <si>
    <t>1.Identify Mispricing: Compare market and theoretical values to confirm mispricing</t>
  </si>
  <si>
    <t>2.Short the stock: Benefit from the expected price drop</t>
  </si>
  <si>
    <t>3.Sell overpriced put: Lock in inflated premiums</t>
  </si>
  <si>
    <t>4.Buy a call option: Hedge against unexpected price increases</t>
  </si>
  <si>
    <t>5.Invest discounted strike price: Secure future obligations</t>
  </si>
  <si>
    <r>
      <rPr>
        <u/>
        <sz val="11"/>
        <color theme="1"/>
        <rFont val="Arial"/>
        <family val="2"/>
      </rPr>
      <t>Expiration Outcomes</t>
    </r>
    <r>
      <rPr>
        <sz val="11"/>
        <color theme="1"/>
        <rFont val="Arial"/>
        <family val="2"/>
      </rPr>
      <t>:
 If Stock Price &gt; K: Call exercised, short position covered; 
If Stock Price &lt; K: Put exercised, stock acquired, short repurchased</t>
    </r>
  </si>
  <si>
    <t>Underpriced Stock (S + P &lt; C + K⋅e^−r(T−t))</t>
  </si>
  <si>
    <t>1.Spot Opportunity: Observe put price undervaluation relative to theoretical pricing</t>
  </si>
  <si>
    <t>2.Buy a put: Secure the right to sell at strike price K</t>
  </si>
  <si>
    <t>3.Sell the call option: Capitalize on the overpricing</t>
  </si>
  <si>
    <t>4.Purchase the stock: Benefit from undervaluation</t>
  </si>
  <si>
    <t>5.Borrow PV(K) to fund purchase: Fund the purchase with borrowed amount equal to PV(K)</t>
  </si>
  <si>
    <r>
      <rPr>
        <u/>
        <sz val="11"/>
        <color theme="1"/>
        <rFont val="Arial"/>
        <family val="2"/>
      </rPr>
      <t>Expiration Outcomes</t>
    </r>
    <r>
      <rPr>
        <sz val="11"/>
        <color theme="1"/>
        <rFont val="Arial"/>
        <family val="2"/>
      </rPr>
      <t>: 
If Stock Price &gt; K: Call exercised, stock sold for K, borrowed amount repaid; 
If Stock Price &lt; K: Put exercised, stock sold at K, borrowed amount repaid</t>
    </r>
  </si>
  <si>
    <t>A. PUT-CALL Partity for all Options as on November 5, 2024</t>
  </si>
  <si>
    <t xml:space="preserve">Arbirtage Startegy </t>
  </si>
  <si>
    <t>Option Expiry Date
(EDT)</t>
  </si>
  <si>
    <t>C - P</t>
  </si>
  <si>
    <t>e^-r(T-t)</t>
  </si>
  <si>
    <t>K*e^-r(T-t)</t>
  </si>
  <si>
    <t>S - K*e^-r(T-t)</t>
  </si>
  <si>
    <t>CALL+Strike*e^(-rt)</t>
  </si>
  <si>
    <t>Put+Spot</t>
  </si>
  <si>
    <r>
      <rPr>
        <b/>
        <sz val="10"/>
        <color theme="1"/>
        <rFont val="Times New Roman"/>
        <family val="1"/>
      </rPr>
      <t>1.</t>
    </r>
    <r>
      <rPr>
        <b/>
        <u/>
        <sz val="10"/>
        <color theme="1"/>
        <rFont val="Times New Roman"/>
        <family val="1"/>
      </rPr>
      <t xml:space="preserve"> Execution Risk</t>
    </r>
    <r>
      <rPr>
        <b/>
        <sz val="10"/>
        <color theme="1"/>
        <rFont val="Times New Roman"/>
        <family val="1"/>
      </rPr>
      <t xml:space="preserve">s - </t>
    </r>
    <r>
      <rPr>
        <sz val="10"/>
        <color theme="1"/>
        <rFont val="Times New Roman"/>
        <family val="1"/>
      </rPr>
      <t>Arbitrage depends on the simultaneous execution of several trades. Any delay might lead to price fluctuations, negating potential gains.nsaction Cost - Brokerage fees and bid-ask spreads can quickly erode small profits.</t>
    </r>
  </si>
  <si>
    <t>MRK241115C00060000</t>
  </si>
  <si>
    <r>
      <t>C−P (Observed) &lt; S−K*e^−r(T−t) (Theoretical)</t>
    </r>
    <r>
      <rPr>
        <i/>
        <sz val="10"/>
        <color theme="1"/>
        <rFont val="Times New Roman"/>
        <family val="1"/>
      </rPr>
      <t xml:space="preserve"> → </t>
    </r>
    <r>
      <rPr>
        <b/>
        <i/>
        <sz val="10"/>
        <color theme="1"/>
        <rFont val="Times New Roman"/>
        <family val="1"/>
      </rPr>
      <t>Underpricing Scenario</t>
    </r>
  </si>
  <si>
    <t xml:space="preserve"> Underpricing Scenario</t>
  </si>
  <si>
    <r>
      <t xml:space="preserve">2. </t>
    </r>
    <r>
      <rPr>
        <b/>
        <u/>
        <sz val="10"/>
        <color theme="1"/>
        <rFont val="Times New Roman"/>
        <family val="1"/>
      </rPr>
      <t>Transaction Costs</t>
    </r>
    <r>
      <rPr>
        <b/>
        <sz val="10"/>
        <color theme="1"/>
        <rFont val="Times New Roman"/>
        <family val="1"/>
      </rPr>
      <t xml:space="preserve"> -</t>
    </r>
    <r>
      <rPr>
        <sz val="10"/>
        <color theme="1"/>
        <rFont val="Times New Roman"/>
        <family val="1"/>
      </rPr>
      <t xml:space="preserve"> Fees from brokers and the difference between bid and ask prices can quickly diminish small profit margins.</t>
    </r>
  </si>
  <si>
    <t>MRK241115C00070000</t>
  </si>
  <si>
    <t>C−P (Observed) &gt; S−K*e^−r(T−t) (Theoretical) → Overpricing Scenario</t>
  </si>
  <si>
    <r>
      <rPr>
        <b/>
        <sz val="10"/>
        <color theme="1"/>
        <rFont val="Times New Roman"/>
        <family val="1"/>
      </rPr>
      <t xml:space="preserve">3. </t>
    </r>
    <r>
      <rPr>
        <b/>
        <u/>
        <sz val="10"/>
        <color theme="1"/>
        <rFont val="Times New Roman"/>
        <family val="1"/>
      </rPr>
      <t>European Options</t>
    </r>
    <r>
      <rPr>
        <b/>
        <sz val="10"/>
        <color theme="1"/>
        <rFont val="Times New Roman"/>
        <family val="1"/>
      </rPr>
      <t xml:space="preserve"> -</t>
    </r>
    <r>
      <rPr>
        <sz val="10"/>
        <color theme="1"/>
        <rFont val="Times New Roman"/>
        <family val="1"/>
      </rPr>
      <t xml:space="preserve"> This analysis is based on European-style options. In contrast, American-style options, which can be exercised anytime, may interfere with the strategy.</t>
    </r>
  </si>
  <si>
    <t>MRK241115C00080000</t>
  </si>
  <si>
    <r>
      <rPr>
        <b/>
        <u/>
        <sz val="10"/>
        <color rgb="FF000000"/>
        <rFont val="Times New Roman"/>
        <family val="1"/>
      </rPr>
      <t>A.</t>
    </r>
    <r>
      <rPr>
        <u/>
        <sz val="10"/>
        <color rgb="FF999999"/>
        <rFont val="Times New Roman"/>
        <family val="1"/>
      </rPr>
      <t xml:space="preserve"> Initial Cash Flow:</t>
    </r>
  </si>
  <si>
    <r>
      <t>4.</t>
    </r>
    <r>
      <rPr>
        <sz val="10"/>
        <color theme="1"/>
        <rFont val="Times New Roman"/>
        <family val="1"/>
      </rPr>
      <t xml:space="preserve"> </t>
    </r>
    <r>
      <rPr>
        <b/>
        <u/>
        <sz val="10"/>
        <color theme="1"/>
        <rFont val="Times New Roman"/>
        <family val="1"/>
      </rPr>
      <t>Liquidity</t>
    </r>
    <r>
      <rPr>
        <b/>
        <sz val="10"/>
        <color theme="1"/>
        <rFont val="Times New Roman"/>
        <family val="1"/>
      </rPr>
      <t xml:space="preserve"> -</t>
    </r>
    <r>
      <rPr>
        <sz val="10"/>
        <color theme="1"/>
        <rFont val="Times New Roman"/>
        <family val="1"/>
      </rPr>
      <t xml:space="preserve"> Low open interest and trading volume for some options can increase the risk of slippage or incomplete transactions.</t>
    </r>
  </si>
  <si>
    <t>MRK241115C00085000</t>
  </si>
  <si>
    <t>MRK241115C00090000</t>
  </si>
  <si>
    <t>MRK241115C00095000</t>
  </si>
  <si>
    <r>
      <rPr>
        <i/>
        <sz val="10"/>
        <color rgb="FF666666"/>
        <rFont val="Times New Roman"/>
        <family val="1"/>
      </rPr>
      <t>***Note:</t>
    </r>
    <r>
      <rPr>
        <i/>
        <sz val="10"/>
        <color rgb="FF999999"/>
        <rFont val="Times New Roman"/>
        <family val="1"/>
      </rPr>
      <t xml:space="preserve"> This is the arbitrage profit per contract, assuming no transaction costs.</t>
    </r>
  </si>
  <si>
    <t>MRK241115C00098000</t>
  </si>
  <si>
    <t>MRK241115C00099000</t>
  </si>
  <si>
    <t>MRK241115C00100000</t>
  </si>
  <si>
    <t>MRK241115C00101000</t>
  </si>
  <si>
    <t>(102)*e^(-4.6975%*0.039683)</t>
  </si>
  <si>
    <t>MRK241115C00102000</t>
  </si>
  <si>
    <t>MRK241115C00103000</t>
  </si>
  <si>
    <r>
      <rPr>
        <b/>
        <sz val="10"/>
        <color rgb="FF000000"/>
        <rFont val="Times New Roman"/>
        <family val="1"/>
      </rPr>
      <t xml:space="preserve">B. </t>
    </r>
    <r>
      <rPr>
        <sz val="10"/>
        <color rgb="FF999999"/>
        <rFont val="Times New Roman"/>
        <family val="1"/>
      </rPr>
      <t>At Expiration</t>
    </r>
  </si>
  <si>
    <t>MRK241115C00104000</t>
  </si>
  <si>
    <t>Stock Prics &lt; Strike Price</t>
  </si>
  <si>
    <t>The put option is  excercised</t>
  </si>
  <si>
    <t>MRK241115C00105000</t>
  </si>
  <si>
    <t>Sell stock at K=102.</t>
  </si>
  <si>
    <t>MRK241115C00106000</t>
  </si>
  <si>
    <t>The call option expires worthless.</t>
  </si>
  <si>
    <t>MRK241115C00107000</t>
  </si>
  <si>
    <t>Short stock is covered at K=96.31</t>
  </si>
  <si>
    <t>MRK241115C00108000</t>
  </si>
  <si>
    <t>Bonds mature to K=102</t>
  </si>
  <si>
    <t>MRK241115C00109000</t>
  </si>
  <si>
    <t>MRK241115C00110000</t>
  </si>
  <si>
    <t>MRK241115C00111000</t>
  </si>
  <si>
    <t>MRK241115C00112000</t>
  </si>
  <si>
    <t>MRK241115C00113000</t>
  </si>
  <si>
    <t>MRK241115C00114000</t>
  </si>
  <si>
    <t>MRK241115C00115000</t>
  </si>
  <si>
    <t>MRK241115C00116000</t>
  </si>
  <si>
    <t>MRK241115C00117000</t>
  </si>
  <si>
    <t>MRK241115C00118000</t>
  </si>
  <si>
    <t>MRK241115C00119000</t>
  </si>
  <si>
    <t>MRK241115C00120000</t>
  </si>
  <si>
    <t>MRK241115C00121000</t>
  </si>
  <si>
    <t>MRK241115C00122000</t>
  </si>
  <si>
    <t>MRK241115C00125000</t>
  </si>
  <si>
    <t>MRK241115C00130000</t>
  </si>
  <si>
    <t>MRK241115C00135000</t>
  </si>
  <si>
    <t>MRK241115C00140000</t>
  </si>
  <si>
    <t>MRK241115C00145000</t>
  </si>
  <si>
    <t>MRK241115C00150000</t>
  </si>
  <si>
    <t>MRK241115C00155000</t>
  </si>
  <si>
    <t>MRK241115C00160000</t>
  </si>
  <si>
    <t>MRK241115C00170000</t>
  </si>
  <si>
    <t xml:space="preserve">B. PUT-CALL Partity for Opions with Strike Price of 96.00 from (Nov. 5 to Nov. 15) </t>
  </si>
  <si>
    <t>Dates</t>
  </si>
  <si>
    <t>CALL (C)</t>
  </si>
  <si>
    <t>PUT (P)</t>
  </si>
  <si>
    <t>Observed Value
(C - P)</t>
  </si>
  <si>
    <t>Stock Price (S)</t>
  </si>
  <si>
    <t>Theoretical Value
(S - K*e^-r(T-t))</t>
  </si>
  <si>
    <t>PV of Strike Price</t>
  </si>
  <si>
    <t>CALLS (Implied Volatility)</t>
  </si>
  <si>
    <t>Last
Price</t>
  </si>
  <si>
    <t>Risk Free Interest Rate</t>
  </si>
  <si>
    <t>Underlying Dividend 
Rate</t>
  </si>
  <si>
    <t>Time to Maturity
(9 Days)</t>
  </si>
  <si>
    <t>BSM d1</t>
  </si>
  <si>
    <t>BSM d2</t>
  </si>
  <si>
    <t>Model Implied Volatility
(Calculated)</t>
  </si>
  <si>
    <t>Theoretical Call Price
(Black-Scholes)</t>
  </si>
  <si>
    <t xml:space="preserve">Market Implied Volatility
</t>
  </si>
  <si>
    <t>Pricing Error</t>
  </si>
  <si>
    <t>PUT (Implied Volatility)</t>
  </si>
  <si>
    <t>Time to Maturity
(10 Days)</t>
  </si>
  <si>
    <t>Theoretical Put Price
(Black-Scholes)</t>
  </si>
  <si>
    <t>Delta Hedging(Using Implied Volatility)</t>
  </si>
  <si>
    <t>Date</t>
  </si>
  <si>
    <t>Daily Log Returns</t>
  </si>
  <si>
    <t>Closing
Price</t>
  </si>
  <si>
    <t>Time to Maturity
(Trading days)</t>
  </si>
  <si>
    <t>Contracts Sold (Assumed)</t>
  </si>
  <si>
    <t>Short call Options</t>
  </si>
  <si>
    <t>Delta</t>
  </si>
  <si>
    <t>Stocks to 
Buy</t>
  </si>
  <si>
    <t>∆ Stocks Bought/sold</t>
  </si>
  <si>
    <t>Cost of shares ( '000s)</t>
  </si>
  <si>
    <t>Cumulative cost including interest</t>
  </si>
  <si>
    <t>Interest cost</t>
  </si>
  <si>
    <t>Option Payoff</t>
  </si>
  <si>
    <t>(in 000's)</t>
  </si>
  <si>
    <t>Total option payoff</t>
  </si>
  <si>
    <t>Final Hedge Portfolio Value</t>
  </si>
  <si>
    <t>Premium received</t>
  </si>
  <si>
    <t>Profit/(Loss)</t>
  </si>
  <si>
    <t>Delta Hedging(Using Historical Volatility)</t>
  </si>
  <si>
    <t>22 Day Implied Volatility
(Yahoo)</t>
  </si>
  <si>
    <r>
      <t xml:space="preserve">Historical Stock Price : </t>
    </r>
    <r>
      <rPr>
        <b/>
        <i/>
        <sz val="24"/>
        <color rgb="FF4A86E8"/>
        <rFont val="Arial"/>
        <family val="2"/>
      </rPr>
      <t>October 15 - November 15 (2024)</t>
    </r>
  </si>
  <si>
    <t>Stock Price</t>
  </si>
  <si>
    <t>Daily Return</t>
  </si>
  <si>
    <t>Log returns</t>
  </si>
  <si>
    <t>Standard Deviation</t>
  </si>
  <si>
    <t>Annualized Standard Deviation</t>
  </si>
  <si>
    <t>Volume- confirm</t>
  </si>
  <si>
    <t>Time</t>
  </si>
  <si>
    <t>Delta change</t>
  </si>
  <si>
    <t>∆ Spot Price</t>
  </si>
  <si>
    <t>P&amp;L</t>
  </si>
  <si>
    <t>Cumulative P&amp;L</t>
  </si>
  <si>
    <t>Options Payoff
(No Hedging)</t>
  </si>
  <si>
    <t>Net Off
(Hedging)</t>
  </si>
  <si>
    <t>Historical Volatility</t>
  </si>
  <si>
    <t>(TBD)</t>
  </si>
  <si>
    <t>Delta Hedging(Using Implied Volatality)</t>
  </si>
  <si>
    <t>Daily Log Retruns</t>
  </si>
  <si>
    <t>Model Implied Volatality
(Calculated)</t>
  </si>
  <si>
    <t>Theortical Call Price
(Black-Scholes)</t>
  </si>
  <si>
    <t>Cummultive P&amp;L</t>
  </si>
  <si>
    <t>Delta Hedging(Using Historical Volatality)</t>
  </si>
  <si>
    <t>Annualised Standard Deviation</t>
  </si>
  <si>
    <r>
      <t xml:space="preserve">Historical Stock Price : </t>
    </r>
    <r>
      <rPr>
        <b/>
        <i/>
        <sz val="20"/>
        <color rgb="FF4A86E8"/>
        <rFont val="Arial"/>
        <family val="2"/>
      </rPr>
      <t>October 15 - November 15 (2024)</t>
    </r>
  </si>
  <si>
    <t>Compare Volatilities</t>
  </si>
  <si>
    <t>Call Implied Volatility</t>
  </si>
  <si>
    <t>Put Implied Volatility</t>
  </si>
  <si>
    <t>Option Type</t>
  </si>
  <si>
    <t xml:space="preserve">Cost </t>
  </si>
  <si>
    <t>Break Even Point (Upper)</t>
  </si>
  <si>
    <t>Break Even Point (Lower)</t>
  </si>
  <si>
    <t xml:space="preserve">Maximum Loss </t>
  </si>
  <si>
    <t>Call Option</t>
  </si>
  <si>
    <t>Put Option</t>
  </si>
  <si>
    <t>Straddle Option</t>
  </si>
  <si>
    <t>Long Straddle</t>
  </si>
  <si>
    <t>Stock Price on expiry</t>
  </si>
  <si>
    <t>ATM</t>
  </si>
  <si>
    <t xml:space="preserve">Call option </t>
  </si>
  <si>
    <t xml:space="preserve">Put Option </t>
  </si>
  <si>
    <t>Payoff</t>
  </si>
  <si>
    <t>Stock price close</t>
  </si>
  <si>
    <t>Long call</t>
  </si>
  <si>
    <t>Long Put</t>
  </si>
  <si>
    <t>Short Straddle</t>
  </si>
  <si>
    <t>Short call</t>
  </si>
  <si>
    <t>Short Put</t>
  </si>
  <si>
    <t>Raw data collected from Bloomberg</t>
  </si>
  <si>
    <t>All data with volume as 0</t>
  </si>
  <si>
    <t>All data post expiration of stock</t>
  </si>
  <si>
    <t>Calls</t>
  </si>
  <si>
    <t>Put</t>
  </si>
  <si>
    <t>Strike</t>
  </si>
  <si>
    <t>Ticker</t>
  </si>
  <si>
    <t>Last</t>
  </si>
  <si>
    <t>IVM</t>
  </si>
  <si>
    <t>Volm</t>
  </si>
  <si>
    <t>15-Nov-24 (10d); CSize 100</t>
  </si>
  <si>
    <t>MRK 11/15/24 C60</t>
  </si>
  <si>
    <t>MRK 11/15/24 P60</t>
  </si>
  <si>
    <t>MRK 11/15/24 C65</t>
  </si>
  <si>
    <t>MRK 11/15/24 P65</t>
  </si>
  <si>
    <t>MRK 11/15/24 C70</t>
  </si>
  <si>
    <t>MRK 11/15/24 P70</t>
  </si>
  <si>
    <t>MRK 11/15/24 C75</t>
  </si>
  <si>
    <t>MRK 11/15/24 P75</t>
  </si>
  <si>
    <t>MRK 11/15/24 C80</t>
  </si>
  <si>
    <t>MRK 11/15/24 P80</t>
  </si>
  <si>
    <t>MRK 11/15/24 C85</t>
  </si>
  <si>
    <t>MRK 11/15/24 P85</t>
  </si>
  <si>
    <t>MRK 11/15/24 C89</t>
  </si>
  <si>
    <t>MRK 11/15/24 P89</t>
  </si>
  <si>
    <t>MRK 11/15/24 C90</t>
  </si>
  <si>
    <t>MRK 11/15/24 P90</t>
  </si>
  <si>
    <t>MRK 11/15/24 C91</t>
  </si>
  <si>
    <t>MRK 11/15/24 P91</t>
  </si>
  <si>
    <t>MRK 11/15/24 C92</t>
  </si>
  <si>
    <t>MRK 11/15/24 P92</t>
  </si>
  <si>
    <t>MRK 11/15/24 C93</t>
  </si>
  <si>
    <t>MRK 11/15/24 P93</t>
  </si>
  <si>
    <t>MRK 11/15/24 C94</t>
  </si>
  <si>
    <t>MRK 11/15/24 P94</t>
  </si>
  <si>
    <t>MRK 11/15/24 C96</t>
  </si>
  <si>
    <t>MRK 11/15/24 P96</t>
  </si>
  <si>
    <t>MRK 11/15/24 C97</t>
  </si>
  <si>
    <t>MRK 11/15/24 P97</t>
  </si>
  <si>
    <t>MRK 11/15/24 C108</t>
  </si>
  <si>
    <t>MRK 11/15/24 P108</t>
  </si>
  <si>
    <t>MRK 11/15/24 C109</t>
  </si>
  <si>
    <t>MRK 11/15/24 P109</t>
  </si>
  <si>
    <t>MRK 11/15/24 C111</t>
  </si>
  <si>
    <t>MRK 11/15/24 P111</t>
  </si>
  <si>
    <t>MRK 11/15/24 C112</t>
  </si>
  <si>
    <t>MRK 11/15/24 P112</t>
  </si>
  <si>
    <t>MRK 11/15/24 C113</t>
  </si>
  <si>
    <t>MRK 11/15/24 P113</t>
  </si>
  <si>
    <t>MRK 11/15/24 C115</t>
  </si>
  <si>
    <t>MRK 11/15/24 P115</t>
  </si>
  <si>
    <t>MRK 11/15/24 C116</t>
  </si>
  <si>
    <t>MRK 11/15/24 P116</t>
  </si>
  <si>
    <t>MRK 11/15/24 C117</t>
  </si>
  <si>
    <t>MRK 11/15/24 P117</t>
  </si>
  <si>
    <t>MRK 11/15/24 C118</t>
  </si>
  <si>
    <t>MRK 11/15/24 P118</t>
  </si>
  <si>
    <t>MRK 11/15/24 C119</t>
  </si>
  <si>
    <t>MRK 11/15/24 P119</t>
  </si>
  <si>
    <t>MRK 11/15/24 C120</t>
  </si>
  <si>
    <t>MRK 11/15/24 P120</t>
  </si>
  <si>
    <t>MRK 11/15/24 C121</t>
  </si>
  <si>
    <t>MRK 11/15/24 P121</t>
  </si>
  <si>
    <t>MRK 11/15/24 C122</t>
  </si>
  <si>
    <t>MRK 11/15/24 P122</t>
  </si>
  <si>
    <t>MRK 11/15/24 C125</t>
  </si>
  <si>
    <t>MRK 11/15/24 P125</t>
  </si>
  <si>
    <t>MRK 11/15/24 C135</t>
  </si>
  <si>
    <t>MRK 11/15/24 P135</t>
  </si>
  <si>
    <t>MRK 11/15/24 C140</t>
  </si>
  <si>
    <t>MRK 11/15/24 P140</t>
  </si>
  <si>
    <t>MRK 11/15/24 C145</t>
  </si>
  <si>
    <t>MRK 11/15/24 P145</t>
  </si>
  <si>
    <t>MRK 11/15/24 C150</t>
  </si>
  <si>
    <t>MRK 11/15/24 P150</t>
  </si>
  <si>
    <t>MRK 11/15/24 C155</t>
  </si>
  <si>
    <t>MRK 11/15/24 P155</t>
  </si>
  <si>
    <t>MRK 11/15/24 C160</t>
  </si>
  <si>
    <t>MRK 11/15/24 P160</t>
  </si>
  <si>
    <t>MRK 11/15/24 C165</t>
  </si>
  <si>
    <t>MRK 11/15/24 P165</t>
  </si>
  <si>
    <t>MRK 11/15/24 C170</t>
  </si>
  <si>
    <t>MRK 11/15/24 P170</t>
  </si>
  <si>
    <t>20-Dec-24 (45d); CSize 100</t>
  </si>
  <si>
    <t>MRK 12/20/24 C55</t>
  </si>
  <si>
    <t>MRK 12/20/24 P55</t>
  </si>
  <si>
    <t>MRK 12/20/24 C60</t>
  </si>
  <si>
    <t>MRK 12/20/24 P60</t>
  </si>
  <si>
    <t>MRK 12/20/24 C65</t>
  </si>
  <si>
    <t>MRK 12/20/24 P65</t>
  </si>
  <si>
    <t>MRK 12/20/24 C70</t>
  </si>
  <si>
    <t>MRK 12/20/24 P70</t>
  </si>
  <si>
    <t>MRK 12/20/24 C75</t>
  </si>
  <si>
    <t>MRK 12/20/24 P75</t>
  </si>
  <si>
    <t>MRK 12/20/24 C80</t>
  </si>
  <si>
    <t>MRK 12/20/24 P80</t>
  </si>
  <si>
    <t>MRK 12/20/24 C85</t>
  </si>
  <si>
    <t>MRK 12/20/24 P85</t>
  </si>
  <si>
    <t>MRK 12/20/24 C90</t>
  </si>
  <si>
    <t>MRK 12/20/24 P90</t>
  </si>
  <si>
    <t>MRK 12/20/24 C95</t>
  </si>
  <si>
    <t>MRK 12/20/24 P95</t>
  </si>
  <si>
    <t>MRK 12/20/24 C100</t>
  </si>
  <si>
    <t>MRK 12/20/24 P100</t>
  </si>
  <si>
    <t>MRK 12/20/24 C105</t>
  </si>
  <si>
    <t>MRK 12/20/24 P105</t>
  </si>
  <si>
    <t>MRK 12/20/24 C110</t>
  </si>
  <si>
    <t>MRK 12/20/24 P110</t>
  </si>
  <si>
    <t>MRK 12/20/24 C115</t>
  </si>
  <si>
    <t>MRK 12/20/24 P115</t>
  </si>
  <si>
    <t>MRK 12/20/24 C120</t>
  </si>
  <si>
    <t>MRK 12/20/24 P120</t>
  </si>
  <si>
    <t>MRK 12/20/24 C125</t>
  </si>
  <si>
    <t>MRK 12/20/24 P125</t>
  </si>
  <si>
    <t>MRK 12/20/24 C130</t>
  </si>
  <si>
    <t>MRK 12/20/24 P130</t>
  </si>
  <si>
    <t>MRK 12/20/24 C135</t>
  </si>
  <si>
    <t>MRK 12/20/24 P135</t>
  </si>
  <si>
    <t>MRK 12/20/24 C140</t>
  </si>
  <si>
    <t>MRK 12/20/24 P140</t>
  </si>
  <si>
    <t>MRK 12/20/24 C145</t>
  </si>
  <si>
    <t>MRK 12/20/24 P145</t>
  </si>
  <si>
    <t>MRK 12/20/24 C150</t>
  </si>
  <si>
    <t>MRK 12/20/24 P150</t>
  </si>
  <si>
    <t>MRK 12/20/24 C155</t>
  </si>
  <si>
    <t>MRK 12/20/24 P155</t>
  </si>
  <si>
    <t>MRK 12/20/24 C160</t>
  </si>
  <si>
    <t>MRK 12/20/24 P160</t>
  </si>
  <si>
    <t>MRK 12/20/24 C165</t>
  </si>
  <si>
    <t>MRK 12/20/24 P165</t>
  </si>
  <si>
    <t>MRK 12/20/24 C170</t>
  </si>
  <si>
    <t>MRK 12/20/24 P170</t>
  </si>
  <si>
    <t>MRK 12/20/24 C175</t>
  </si>
  <si>
    <t>MRK 12/20/24 P175</t>
  </si>
  <si>
    <t>Closing Stock Price</t>
  </si>
  <si>
    <t>Raw data collected from Bloomberg- with no 0 volumes</t>
  </si>
  <si>
    <t>CALL</t>
  </si>
  <si>
    <t>Change</t>
  </si>
  <si>
    <t>% Change</t>
  </si>
  <si>
    <t>Open Interest</t>
  </si>
  <si>
    <t>Expiry Date</t>
  </si>
  <si>
    <t>Daily Ln Return</t>
  </si>
  <si>
    <t>PUT</t>
  </si>
  <si>
    <t>MRK241115P00102000</t>
  </si>
  <si>
    <t>2024-11-05 2:13PM EST</t>
  </si>
  <si>
    <t>(Data extracted using python)</t>
  </si>
  <si>
    <t>CALLS</t>
  </si>
  <si>
    <t>PUTS</t>
  </si>
  <si>
    <t>index</t>
  </si>
  <si>
    <t>contract Symbol</t>
  </si>
  <si>
    <t>lastTradeDate</t>
  </si>
  <si>
    <t>strike</t>
  </si>
  <si>
    <t>lastPrice</t>
  </si>
  <si>
    <t>bid</t>
  </si>
  <si>
    <t>ask</t>
  </si>
  <si>
    <t>change</t>
  </si>
  <si>
    <t>percentChange</t>
  </si>
  <si>
    <t>volume</t>
  </si>
  <si>
    <t>openInterest</t>
  </si>
  <si>
    <t>impliedVolatility</t>
  </si>
  <si>
    <t>inTheMoney</t>
  </si>
  <si>
    <t>contractSize</t>
  </si>
  <si>
    <t>currency</t>
  </si>
  <si>
    <t>Type</t>
  </si>
  <si>
    <t>REGULAR</t>
  </si>
  <si>
    <t>USD</t>
  </si>
  <si>
    <t>Call</t>
  </si>
  <si>
    <t>MRK241115P00060000</t>
  </si>
  <si>
    <t>MRK241115P00070000</t>
  </si>
  <si>
    <t>MRK241115P00080000</t>
  </si>
  <si>
    <t>MRK241115P00085000</t>
  </si>
  <si>
    <t>MRK241115P00090000</t>
  </si>
  <si>
    <t>MRK241115P00095000</t>
  </si>
  <si>
    <t>MRK241115P00098000</t>
  </si>
  <si>
    <t>MRK241115P00099000</t>
  </si>
  <si>
    <t>MRK241115P00100000</t>
  </si>
  <si>
    <t>MRK241115P00101000</t>
  </si>
  <si>
    <t>MRK241115P00103000</t>
  </si>
  <si>
    <t>MRK241115P00104000</t>
  </si>
  <si>
    <t>MRK241115P00105000</t>
  </si>
  <si>
    <t>MRK241115P00106000</t>
  </si>
  <si>
    <t>MRK241115P00107000</t>
  </si>
  <si>
    <t>MRK241115P00108000</t>
  </si>
  <si>
    <t>MRK241115P00109000</t>
  </si>
  <si>
    <t>MRK241115P00110000</t>
  </si>
  <si>
    <t>MRK241115P00111000</t>
  </si>
  <si>
    <t>MRK241115P00112000</t>
  </si>
  <si>
    <t>MRK241115P00113000</t>
  </si>
  <si>
    <t>MRK241115P00114000</t>
  </si>
  <si>
    <t>MRK241115P00115000</t>
  </si>
  <si>
    <t>MRK241115P00116000</t>
  </si>
  <si>
    <t>MRK241115P00117000</t>
  </si>
  <si>
    <t>MRK241115P00118000</t>
  </si>
  <si>
    <t>MRK241115P00119000</t>
  </si>
  <si>
    <t>MRK241115P00120000</t>
  </si>
  <si>
    <t>MRK241115P00121000</t>
  </si>
  <si>
    <t>MRK241115P00122000</t>
  </si>
  <si>
    <t>MRK241115P00125000</t>
  </si>
  <si>
    <t>MRK241115P00130000</t>
  </si>
  <si>
    <t>MRK241115P00135000</t>
  </si>
  <si>
    <t>MRK241115P00140000</t>
  </si>
  <si>
    <t>MRK241115P00145000</t>
  </si>
  <si>
    <t>MRK241115P00150000</t>
  </si>
  <si>
    <t>MRK241115P00155000</t>
  </si>
  <si>
    <t>MRK241115P00160000</t>
  </si>
  <si>
    <t>MRK241115P00170000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</si>
</sst>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164" formatCode="yyyy\-mm\-dd\ hh:mm:ss"/>
    <numFmt numFmtId="165" formatCode="#,##0.0000"/>
    <numFmt numFmtId="166" formatCode="d/m/yyyy\ hh:mm"/>
    <numFmt numFmtId="167" formatCode="0.0000000000%"/>
    <numFmt numFmtId="168" formatCode="0.00000000"/>
    <numFmt numFmtId="169" formatCode="0.0000"/>
    <numFmt numFmtId="170" formatCode="0.000"/>
    <numFmt numFmtId="171" formatCode="0.00000"/>
    <numFmt numFmtId="172" formatCode="0.0000%"/>
    <numFmt numFmtId="173" formatCode="0.0000000"/>
    <numFmt numFmtId="174" formatCode="0.000000"/>
    <numFmt numFmtId="175" formatCode="mmmm&quot; &quot;d&quot;, &quot;yyyy"/>
    <numFmt numFmtId="176" formatCode="[$-F800]dddd\,\ mmmm\ dd\,\ yyyy"/>
    <numFmt numFmtId="177" formatCode="0.000%"/>
    <numFmt numFmtId="178" formatCode="0.0"/>
    <numFmt numFmtId="179" formatCode="0.000000000%"/>
  </numFmts>
  <fonts count="99">
    <font>
      <sz val="11"/>
      <color theme="1"/>
      <name val="Aptos Narrow"/>
      <family val="2"/>
      <scheme val="minor"/>
    </font>
    <font>
      <sz val="11"/>
      <color theme="1"/>
      <name val="Aptos Narrow"/>
      <family val="2"/>
      <scheme val="minor"/>
    </font>
    <font>
      <b/>
      <sz val="9"/>
      <color indexed="81"/>
      <name val="Tahoma"/>
      <family val="2"/>
    </font>
    <font>
      <sz val="9"/>
      <color indexed="81"/>
      <name val="Tahoma"/>
      <family val="2"/>
    </font>
    <font>
      <sz val="10"/>
      <color rgb="FF000000"/>
      <name val="Aptos Narrow"/>
      <family val="2"/>
      <scheme val="minor"/>
    </font>
    <font>
      <sz val="10"/>
      <color rgb="FF000000"/>
      <name val="Arial"/>
      <family val="2"/>
    </font>
    <font>
      <sz val="11"/>
      <color theme="1"/>
      <name val="Arial"/>
      <family val="2"/>
    </font>
    <font>
      <i/>
      <sz val="9"/>
      <color theme="1"/>
      <name val="Arial"/>
      <family val="2"/>
    </font>
    <font>
      <b/>
      <sz val="12"/>
      <color theme="1"/>
      <name val="Arial"/>
      <family val="2"/>
    </font>
    <font>
      <b/>
      <sz val="11"/>
      <name val="Arial"/>
      <family val="2"/>
    </font>
    <font>
      <b/>
      <sz val="20"/>
      <color theme="1"/>
      <name val="Arial"/>
      <family val="2"/>
    </font>
    <font>
      <b/>
      <sz val="11"/>
      <color rgb="FF232A31"/>
      <name val="Arial"/>
      <family val="2"/>
    </font>
    <font>
      <u/>
      <sz val="11"/>
      <color theme="3"/>
      <name val="Arial"/>
      <family val="2"/>
    </font>
    <font>
      <sz val="11"/>
      <color rgb="FF232A31"/>
      <name val="Arial"/>
      <family val="2"/>
    </font>
    <font>
      <sz val="11"/>
      <color rgb="FF000000"/>
      <name val="Arial"/>
      <family val="2"/>
    </font>
    <font>
      <sz val="11"/>
      <color theme="3"/>
      <name val="Arial"/>
      <family val="2"/>
    </font>
    <font>
      <b/>
      <sz val="11"/>
      <color theme="1"/>
      <name val="Times New Roman"/>
      <family val="1"/>
    </font>
    <font>
      <sz val="11"/>
      <color theme="1"/>
      <name val="Times New Roman"/>
      <family val="1"/>
    </font>
    <font>
      <b/>
      <sz val="11"/>
      <color theme="0"/>
      <name val="Times New Roman"/>
      <family val="1"/>
    </font>
    <font>
      <b/>
      <sz val="12"/>
      <color theme="1"/>
      <name val="Times New Roman"/>
      <family val="1"/>
    </font>
    <font>
      <b/>
      <sz val="22"/>
      <color theme="2"/>
      <name val="Times New Roman"/>
      <family val="1"/>
    </font>
    <font>
      <sz val="10"/>
      <color rgb="FF000000"/>
      <name val="Times New Roman"/>
      <family val="1"/>
    </font>
    <font>
      <sz val="10"/>
      <name val="Times New Roman"/>
      <family val="1"/>
    </font>
    <font>
      <b/>
      <sz val="10"/>
      <color theme="1"/>
      <name val="Times New Roman"/>
      <family val="1"/>
    </font>
    <font>
      <sz val="10"/>
      <color theme="1"/>
      <name val="Times New Roman"/>
      <family val="1"/>
    </font>
    <font>
      <sz val="10"/>
      <color theme="3"/>
      <name val="Times New Roman"/>
      <family val="1"/>
    </font>
    <font>
      <b/>
      <u/>
      <sz val="10"/>
      <color theme="1"/>
      <name val="Times New Roman"/>
      <family val="1"/>
    </font>
    <font>
      <i/>
      <sz val="10"/>
      <color rgb="FF999999"/>
      <name val="Times New Roman"/>
      <family val="1"/>
    </font>
    <font>
      <b/>
      <u/>
      <sz val="10"/>
      <color rgb="FF000000"/>
      <name val="Times New Roman"/>
      <family val="1"/>
    </font>
    <font>
      <i/>
      <sz val="10"/>
      <color rgb="FF666666"/>
      <name val="Times New Roman"/>
      <family val="1"/>
    </font>
    <font>
      <i/>
      <sz val="10"/>
      <color theme="1"/>
      <name val="Times New Roman"/>
      <family val="1"/>
    </font>
    <font>
      <b/>
      <i/>
      <sz val="10"/>
      <color theme="1"/>
      <name val="Times New Roman"/>
      <family val="1"/>
    </font>
    <font>
      <b/>
      <sz val="10"/>
      <color rgb="FF000000"/>
      <name val="Times New Roman"/>
      <family val="1"/>
    </font>
    <font>
      <sz val="10"/>
      <color rgb="FF4A86E8"/>
      <name val="Times New Roman"/>
      <family val="1"/>
    </font>
    <font>
      <sz val="10"/>
      <color rgb="FF6AA84F"/>
      <name val="Times New Roman"/>
      <family val="1"/>
    </font>
    <font>
      <sz val="12"/>
      <color rgb="FF4A86E8"/>
      <name val="Times New Roman"/>
      <family val="1"/>
    </font>
    <font>
      <sz val="12"/>
      <name val="Times New Roman"/>
      <family val="1"/>
    </font>
    <font>
      <b/>
      <sz val="12"/>
      <color rgb="FF000000"/>
      <name val="Times New Roman"/>
      <family val="1"/>
    </font>
    <font>
      <sz val="12"/>
      <color theme="1"/>
      <name val="Times New Roman"/>
      <family val="1"/>
    </font>
    <font>
      <sz val="10"/>
      <color rgb="FF999999"/>
      <name val="Times New Roman"/>
      <family val="1"/>
    </font>
    <font>
      <u/>
      <sz val="10"/>
      <color rgb="FF999999"/>
      <name val="Times New Roman"/>
      <family val="1"/>
    </font>
    <font>
      <sz val="12"/>
      <color theme="3"/>
      <name val="Times New Roman"/>
      <family val="1"/>
    </font>
    <font>
      <u/>
      <sz val="12"/>
      <color theme="3"/>
      <name val="Times New Roman"/>
      <family val="1"/>
    </font>
    <font>
      <b/>
      <i/>
      <sz val="10"/>
      <name val="Times New Roman"/>
      <family val="1"/>
    </font>
    <font>
      <b/>
      <u/>
      <sz val="12"/>
      <color rgb="FF000000"/>
      <name val="Times New Roman"/>
      <family val="1"/>
    </font>
    <font>
      <b/>
      <sz val="12"/>
      <name val="Times New Roman"/>
      <family val="1"/>
    </font>
    <font>
      <b/>
      <sz val="12"/>
      <color theme="3"/>
      <name val="Times New Roman"/>
      <family val="1"/>
    </font>
    <font>
      <sz val="10"/>
      <color theme="4"/>
      <name val="Times New Roman"/>
      <family val="1"/>
    </font>
    <font>
      <b/>
      <sz val="10"/>
      <color theme="4"/>
      <name val="Times New Roman"/>
      <family val="1"/>
    </font>
    <font>
      <sz val="10"/>
      <color rgb="FFFF0000"/>
      <name val="Times New Roman"/>
      <family val="1"/>
    </font>
    <font>
      <b/>
      <sz val="10"/>
      <color theme="3"/>
      <name val="Times New Roman"/>
      <family val="1"/>
    </font>
    <font>
      <b/>
      <sz val="10"/>
      <name val="Times New Roman"/>
      <family val="1"/>
    </font>
    <font>
      <b/>
      <sz val="10"/>
      <color rgb="FF4A86E8"/>
      <name val="Times New Roman"/>
      <family val="1"/>
    </font>
    <font>
      <b/>
      <sz val="10"/>
      <color rgb="FF6AA84F"/>
      <name val="Times New Roman"/>
      <family val="1"/>
    </font>
    <font>
      <b/>
      <sz val="10"/>
      <color rgb="FF000000"/>
      <name val="Arial"/>
      <family val="2"/>
    </font>
    <font>
      <b/>
      <sz val="24"/>
      <color rgb="FF4A86E8"/>
      <name val="Arial"/>
      <family val="2"/>
    </font>
    <font>
      <b/>
      <i/>
      <sz val="24"/>
      <color rgb="FF4A86E8"/>
      <name val="Arial"/>
      <family val="2"/>
    </font>
    <font>
      <sz val="10"/>
      <color theme="1"/>
      <name val="Arial"/>
      <family val="2"/>
    </font>
    <font>
      <i/>
      <sz val="10"/>
      <color theme="1"/>
      <name val="Arial"/>
      <family val="2"/>
    </font>
    <font>
      <b/>
      <sz val="10"/>
      <color theme="1"/>
      <name val="Arial"/>
      <family val="2"/>
    </font>
    <font>
      <b/>
      <sz val="20"/>
      <color rgb="FF4A86E8"/>
      <name val="Arial"/>
      <family val="2"/>
    </font>
    <font>
      <b/>
      <i/>
      <sz val="20"/>
      <color rgb="FF4A86E8"/>
      <name val="Arial"/>
      <family val="2"/>
    </font>
    <font>
      <sz val="20"/>
      <color rgb="FF000000"/>
      <name val="Arial"/>
      <family val="2"/>
    </font>
    <font>
      <sz val="12"/>
      <color theme="1"/>
      <name val="Arial"/>
      <family val="2"/>
    </font>
    <font>
      <sz val="12"/>
      <color rgb="FF000000"/>
      <name val="Arial"/>
      <family val="2"/>
    </font>
    <font>
      <i/>
      <sz val="12"/>
      <color theme="1"/>
      <name val="Arial"/>
      <family val="2"/>
    </font>
    <font>
      <sz val="16"/>
      <color rgb="FF000000"/>
      <name val="Arial"/>
      <family val="2"/>
    </font>
    <font>
      <b/>
      <sz val="12"/>
      <color rgb="FF000000"/>
      <name val="Arial"/>
      <family val="2"/>
    </font>
    <font>
      <b/>
      <sz val="11"/>
      <color theme="1"/>
      <name val="Arial"/>
      <family val="2"/>
    </font>
    <font>
      <u/>
      <sz val="11"/>
      <color theme="10"/>
      <name val="Aptos Narrow"/>
      <family val="2"/>
      <scheme val="minor"/>
    </font>
    <font>
      <b/>
      <sz val="11"/>
      <color theme="0"/>
      <name val="Arial"/>
      <family val="2"/>
    </font>
    <font>
      <b/>
      <u/>
      <sz val="11"/>
      <color theme="1"/>
      <name val="Arial"/>
      <family val="2"/>
    </font>
    <font>
      <sz val="16"/>
      <color theme="1"/>
      <name val="Arial"/>
      <family val="2"/>
    </font>
    <font>
      <b/>
      <sz val="22"/>
      <color theme="2"/>
      <name val="Arial"/>
      <family val="2"/>
    </font>
    <font>
      <b/>
      <u/>
      <sz val="14"/>
      <color theme="1"/>
      <name val="Arial"/>
      <family val="2"/>
    </font>
    <font>
      <sz val="12"/>
      <color rgb="FF4A86E8"/>
      <name val="Arial"/>
      <family val="2"/>
    </font>
    <font>
      <sz val="12"/>
      <name val="Arial"/>
      <family val="2"/>
    </font>
    <font>
      <b/>
      <u/>
      <sz val="12"/>
      <color rgb="FF000000"/>
      <name val="Arial"/>
      <family val="2"/>
    </font>
    <font>
      <b/>
      <sz val="12"/>
      <color theme="3"/>
      <name val="Arial"/>
      <family val="2"/>
    </font>
    <font>
      <b/>
      <u/>
      <sz val="10"/>
      <color theme="1"/>
      <name val="Arial"/>
      <family val="2"/>
    </font>
    <font>
      <b/>
      <i/>
      <sz val="10"/>
      <color theme="1"/>
      <name val="Arial"/>
      <family val="2"/>
    </font>
    <font>
      <b/>
      <sz val="12"/>
      <name val="Arial"/>
      <family val="2"/>
    </font>
    <font>
      <sz val="12"/>
      <color theme="3"/>
      <name val="Arial"/>
      <family val="2"/>
    </font>
    <font>
      <b/>
      <i/>
      <sz val="10"/>
      <name val="Arial"/>
      <family val="2"/>
    </font>
    <font>
      <u/>
      <sz val="10"/>
      <color theme="1"/>
      <name val="Arial"/>
      <family val="2"/>
    </font>
    <font>
      <sz val="10"/>
      <name val="Arial"/>
      <family val="2"/>
    </font>
    <font>
      <sz val="10"/>
      <color rgb="FFFF0000"/>
      <name val="Arial"/>
      <family val="2"/>
    </font>
    <font>
      <u/>
      <sz val="12"/>
      <color theme="3"/>
      <name val="Arial"/>
      <family val="2"/>
    </font>
    <font>
      <sz val="10"/>
      <color theme="3"/>
      <name val="Arial"/>
      <family val="2"/>
    </font>
    <font>
      <u/>
      <sz val="11"/>
      <color theme="10"/>
      <name val="Arial"/>
      <family val="2"/>
    </font>
    <font>
      <i/>
      <sz val="10"/>
      <color rgb="FF666666"/>
      <name val="Arial"/>
      <family val="2"/>
    </font>
    <font>
      <b/>
      <sz val="10"/>
      <name val="Arial"/>
      <family val="2"/>
    </font>
    <font>
      <b/>
      <sz val="10"/>
      <color theme="3"/>
      <name val="Arial"/>
      <family val="2"/>
    </font>
    <font>
      <sz val="10"/>
      <color rgb="FF4A86E8"/>
      <name val="Arial"/>
      <family val="2"/>
    </font>
    <font>
      <b/>
      <sz val="10"/>
      <color rgb="FF4A86E8"/>
      <name val="Arial"/>
      <family val="2"/>
    </font>
    <font>
      <b/>
      <u/>
      <sz val="10"/>
      <color rgb="FF000000"/>
      <name val="Arial"/>
      <family val="2"/>
    </font>
    <font>
      <b/>
      <sz val="10"/>
      <color rgb="FF6AA84F"/>
      <name val="Arial"/>
      <family val="2"/>
    </font>
    <font>
      <b/>
      <sz val="11"/>
      <color rgb="FFFFFFFF"/>
      <name val="Arial"/>
      <family val="2"/>
    </font>
    <font>
      <u/>
      <sz val="11"/>
      <color theme="1"/>
      <name val="Arial"/>
      <family val="2"/>
    </font>
  </fonts>
  <fills count="31">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rgb="FFFFFFFF"/>
        <bgColor rgb="FFFFFFFF"/>
      </patternFill>
    </fill>
    <fill>
      <patternFill patternType="solid">
        <fgColor theme="9" tint="0.59999389629810485"/>
        <bgColor rgb="FFF1C232"/>
      </patternFill>
    </fill>
    <fill>
      <patternFill patternType="solid">
        <fgColor theme="9" tint="0.59999389629810485"/>
        <bgColor indexed="64"/>
      </patternFill>
    </fill>
    <fill>
      <patternFill patternType="solid">
        <fgColor rgb="FFFFFF00"/>
        <bgColor indexed="64"/>
      </patternFill>
    </fill>
    <fill>
      <patternFill patternType="solid">
        <fgColor rgb="FFFFC000"/>
        <bgColor indexed="64"/>
      </patternFill>
    </fill>
    <fill>
      <patternFill patternType="solid">
        <fgColor theme="9" tint="0.59999389629810485"/>
        <bgColor rgb="FFFFFFFF"/>
      </patternFill>
    </fill>
    <fill>
      <patternFill patternType="solid">
        <fgColor theme="9" tint="0.59999389629810485"/>
        <bgColor rgb="FFCFE2F3"/>
      </patternFill>
    </fill>
    <fill>
      <patternFill patternType="solid">
        <fgColor rgb="FFCFE2F3"/>
        <bgColor rgb="FFCFE2F3"/>
      </patternFill>
    </fill>
    <fill>
      <patternFill patternType="solid">
        <fgColor theme="0"/>
        <bgColor rgb="FFFFFFFF"/>
      </patternFill>
    </fill>
    <fill>
      <patternFill patternType="solid">
        <fgColor theme="5" tint="0.59999389629810485"/>
        <bgColor indexed="64"/>
      </patternFill>
    </fill>
    <fill>
      <patternFill patternType="solid">
        <fgColor theme="5" tint="0.59999389629810485"/>
        <bgColor rgb="FFFFFFFF"/>
      </patternFill>
    </fill>
    <fill>
      <patternFill patternType="solid">
        <fgColor theme="5" tint="0.59999389629810485"/>
        <bgColor rgb="FFCFE2F3"/>
      </patternFill>
    </fill>
    <fill>
      <patternFill patternType="solid">
        <fgColor theme="9" tint="0.59999389629810485"/>
        <bgColor rgb="FFD9EAD3"/>
      </patternFill>
    </fill>
    <fill>
      <patternFill patternType="solid">
        <fgColor theme="4" tint="0.59999389629810485"/>
        <bgColor indexed="64"/>
      </patternFill>
    </fill>
    <fill>
      <patternFill patternType="solid">
        <fgColor theme="4" tint="0.59999389629810485"/>
        <bgColor rgb="FFFFFFFF"/>
      </patternFill>
    </fill>
    <fill>
      <patternFill patternType="solid">
        <fgColor theme="1"/>
        <bgColor indexed="64"/>
      </patternFill>
    </fill>
    <fill>
      <patternFill patternType="solid">
        <fgColor theme="8" tint="0.79998168889431442"/>
        <bgColor indexed="64"/>
      </patternFill>
    </fill>
    <fill>
      <patternFill patternType="solid">
        <fgColor theme="8" tint="-0.249977111117893"/>
        <bgColor indexed="64"/>
      </patternFill>
    </fill>
    <fill>
      <patternFill patternType="solid">
        <fgColor theme="9" tint="0.79998168889431442"/>
        <bgColor indexed="64"/>
      </patternFill>
    </fill>
    <fill>
      <patternFill patternType="solid">
        <fgColor theme="0"/>
        <bgColor rgb="FFEA9999"/>
      </patternFill>
    </fill>
    <fill>
      <patternFill patternType="solid">
        <fgColor theme="9" tint="0.79998168889431442"/>
        <bgColor rgb="FFFFFFFF"/>
      </patternFill>
    </fill>
    <fill>
      <patternFill patternType="solid">
        <fgColor rgb="FFFFFF00"/>
        <bgColor rgb="FFFFFFFF"/>
      </patternFill>
    </fill>
    <fill>
      <patternFill patternType="solid">
        <fgColor rgb="FF4F81BD"/>
        <bgColor rgb="FF4F81BD"/>
      </patternFill>
    </fill>
    <fill>
      <patternFill patternType="solid">
        <fgColor rgb="FFDDEBF7"/>
        <bgColor rgb="FFDDEBF7"/>
      </patternFill>
    </fill>
    <fill>
      <patternFill patternType="solid">
        <fgColor rgb="FFE97132"/>
        <bgColor rgb="FF000000"/>
      </patternFill>
    </fill>
    <fill>
      <patternFill patternType="solid">
        <fgColor rgb="FFFFFFFF"/>
        <bgColor indexed="64"/>
      </patternFill>
    </fill>
    <fill>
      <patternFill patternType="solid">
        <fgColor theme="7" tint="0.79998168889431442"/>
        <bgColor rgb="FFCFE2F3"/>
      </patternFill>
    </fill>
  </fills>
  <borders count="2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style="thin">
        <color theme="0"/>
      </left>
      <right style="thin">
        <color theme="0"/>
      </right>
      <top style="thin">
        <color theme="0"/>
      </top>
      <bottom style="thin">
        <color theme="0"/>
      </bottom>
      <diagonal/>
    </border>
    <border>
      <left style="thin">
        <color theme="1"/>
      </left>
      <right style="thin">
        <color theme="1"/>
      </right>
      <top style="thin">
        <color theme="1"/>
      </top>
      <bottom style="thin">
        <color theme="1"/>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theme="1"/>
      </left>
      <right style="thin">
        <color theme="1"/>
      </right>
      <top style="thin">
        <color theme="1"/>
      </top>
      <bottom/>
      <diagonal/>
    </border>
    <border>
      <left style="thin">
        <color indexed="64"/>
      </left>
      <right/>
      <top style="thin">
        <color indexed="64"/>
      </top>
      <bottom/>
      <diagonal/>
    </border>
    <border>
      <left style="thin">
        <color theme="1"/>
      </left>
      <right/>
      <top style="thin">
        <color theme="1"/>
      </top>
      <bottom style="thin">
        <color theme="1"/>
      </bottom>
      <diagonal/>
    </border>
    <border>
      <left/>
      <right style="thin">
        <color theme="1"/>
      </right>
      <top style="thin">
        <color theme="1"/>
      </top>
      <bottom style="thin">
        <color theme="1"/>
      </bottom>
      <diagonal/>
    </border>
    <border>
      <left style="thin">
        <color theme="1"/>
      </left>
      <right/>
      <top style="thin">
        <color theme="1"/>
      </top>
      <bottom/>
      <diagonal/>
    </border>
    <border>
      <left/>
      <right style="thin">
        <color theme="1"/>
      </right>
      <top style="thin">
        <color theme="1"/>
      </top>
      <bottom/>
      <diagonal/>
    </border>
    <border>
      <left style="thin">
        <color theme="1"/>
      </left>
      <right/>
      <top/>
      <bottom/>
      <diagonal/>
    </border>
    <border>
      <left/>
      <right style="thin">
        <color theme="1"/>
      </right>
      <top/>
      <bottom/>
      <diagonal/>
    </border>
    <border>
      <left style="thin">
        <color theme="1"/>
      </left>
      <right/>
      <top/>
      <bottom style="thin">
        <color theme="1"/>
      </bottom>
      <diagonal/>
    </border>
    <border>
      <left/>
      <right style="thin">
        <color theme="1"/>
      </right>
      <top/>
      <bottom style="thin">
        <color theme="1"/>
      </bottom>
      <diagonal/>
    </border>
    <border>
      <left/>
      <right/>
      <top style="thin">
        <color theme="1"/>
      </top>
      <bottom style="thin">
        <color theme="1"/>
      </bottom>
      <diagonal/>
    </border>
    <border>
      <left style="thin">
        <color theme="1"/>
      </left>
      <right style="thin">
        <color theme="1"/>
      </right>
      <top/>
      <bottom style="thin">
        <color theme="1"/>
      </bottom>
      <diagonal/>
    </border>
    <border>
      <left/>
      <right/>
      <top style="thin">
        <color theme="1"/>
      </top>
      <bottom/>
      <diagonal/>
    </border>
    <border>
      <left/>
      <right/>
      <top/>
      <bottom style="thin">
        <color theme="1"/>
      </bottom>
      <diagonal/>
    </border>
    <border>
      <left style="thin">
        <color auto="1"/>
      </left>
      <right style="thin">
        <color auto="1"/>
      </right>
      <top style="thin">
        <color auto="1"/>
      </top>
      <bottom/>
      <diagonal/>
    </border>
    <border>
      <left style="thin">
        <color auto="1"/>
      </left>
      <right style="thin">
        <color auto="1"/>
      </right>
      <top/>
      <bottom/>
      <diagonal/>
    </border>
  </borders>
  <cellStyleXfs count="5">
    <xf numFmtId="0" fontId="0" fillId="0" borderId="0"/>
    <xf numFmtId="9" fontId="1" fillId="0" borderId="0" applyFont="0" applyFill="0" applyBorder="0" applyAlignment="0" applyProtection="0"/>
    <xf numFmtId="0" fontId="4" fillId="0" borderId="0"/>
    <xf numFmtId="0" fontId="1" fillId="0" borderId="0"/>
    <xf numFmtId="0" fontId="69" fillId="0" borderId="0" applyNumberFormat="0" applyFill="0" applyBorder="0" applyAlignment="0" applyProtection="0"/>
  </cellStyleXfs>
  <cellXfs count="454">
    <xf numFmtId="0" fontId="0" fillId="0" borderId="0" xfId="0"/>
    <xf numFmtId="0" fontId="6" fillId="0" borderId="0" xfId="3" applyFont="1"/>
    <xf numFmtId="0" fontId="7" fillId="0" borderId="0" xfId="3" applyFont="1"/>
    <xf numFmtId="0" fontId="9" fillId="6" borderId="1" xfId="3" applyFont="1" applyFill="1" applyBorder="1" applyAlignment="1">
      <alignment horizontal="center" vertical="top"/>
    </xf>
    <xf numFmtId="0" fontId="6" fillId="0" borderId="1" xfId="3" applyFont="1" applyBorder="1"/>
    <xf numFmtId="164" fontId="6" fillId="0" borderId="1" xfId="3" applyNumberFormat="1" applyFont="1" applyBorder="1"/>
    <xf numFmtId="0" fontId="6" fillId="7" borderId="1" xfId="3" applyFont="1" applyFill="1" applyBorder="1"/>
    <xf numFmtId="0" fontId="6" fillId="8" borderId="1" xfId="3" applyFont="1" applyFill="1" applyBorder="1"/>
    <xf numFmtId="164" fontId="6" fillId="8" borderId="1" xfId="3" applyNumberFormat="1" applyFont="1" applyFill="1" applyBorder="1"/>
    <xf numFmtId="0" fontId="4" fillId="0" borderId="0" xfId="2"/>
    <xf numFmtId="0" fontId="11" fillId="9" borderId="1" xfId="2" applyFont="1" applyFill="1" applyBorder="1" applyAlignment="1">
      <alignment horizontal="center" vertical="center"/>
    </xf>
    <xf numFmtId="0" fontId="11" fillId="9" borderId="1" xfId="2" applyFont="1" applyFill="1" applyBorder="1" applyAlignment="1">
      <alignment horizontal="center" vertical="center" wrapText="1"/>
    </xf>
    <xf numFmtId="4" fontId="11" fillId="10" borderId="1" xfId="2" applyNumberFormat="1" applyFont="1" applyFill="1" applyBorder="1" applyAlignment="1">
      <alignment horizontal="center" vertical="center"/>
    </xf>
    <xf numFmtId="165" fontId="11" fillId="9" borderId="1" xfId="2" applyNumberFormat="1" applyFont="1" applyFill="1" applyBorder="1" applyAlignment="1">
      <alignment horizontal="center" vertical="center" wrapText="1"/>
    </xf>
    <xf numFmtId="0" fontId="12" fillId="0" borderId="1" xfId="2" applyFont="1" applyBorder="1" applyAlignment="1">
      <alignment horizontal="left" vertical="center"/>
    </xf>
    <xf numFmtId="166" fontId="13" fillId="4" borderId="1" xfId="2" applyNumberFormat="1" applyFont="1" applyFill="1" applyBorder="1" applyAlignment="1">
      <alignment horizontal="left" vertical="center"/>
    </xf>
    <xf numFmtId="2" fontId="13" fillId="4" borderId="1" xfId="2" applyNumberFormat="1" applyFont="1" applyFill="1" applyBorder="1" applyAlignment="1">
      <alignment horizontal="center" vertical="center"/>
    </xf>
    <xf numFmtId="0" fontId="14" fillId="0" borderId="1" xfId="2" applyFont="1" applyBorder="1" applyAlignment="1">
      <alignment horizontal="center" vertical="center"/>
    </xf>
    <xf numFmtId="2" fontId="13" fillId="4" borderId="1" xfId="2" applyNumberFormat="1" applyFont="1" applyFill="1" applyBorder="1" applyAlignment="1">
      <alignment horizontal="right" vertical="center"/>
    </xf>
    <xf numFmtId="167" fontId="13" fillId="4" borderId="1" xfId="2" applyNumberFormat="1" applyFont="1" applyFill="1" applyBorder="1" applyAlignment="1">
      <alignment horizontal="center" vertical="center"/>
    </xf>
    <xf numFmtId="10" fontId="14" fillId="0" borderId="1" xfId="2" applyNumberFormat="1" applyFont="1" applyBorder="1" applyAlignment="1">
      <alignment horizontal="center" vertical="center"/>
    </xf>
    <xf numFmtId="168" fontId="14" fillId="0" borderId="1" xfId="2" applyNumberFormat="1" applyFont="1" applyBorder="1" applyAlignment="1">
      <alignment horizontal="center" vertical="center"/>
    </xf>
    <xf numFmtId="4" fontId="13" fillId="11" borderId="1" xfId="2" applyNumberFormat="1" applyFont="1" applyFill="1" applyBorder="1" applyAlignment="1">
      <alignment horizontal="center" vertical="center"/>
    </xf>
    <xf numFmtId="169" fontId="13" fillId="4" borderId="1" xfId="2" applyNumberFormat="1" applyFont="1" applyFill="1" applyBorder="1" applyAlignment="1">
      <alignment horizontal="center" vertical="center"/>
    </xf>
    <xf numFmtId="10" fontId="13" fillId="0" borderId="1" xfId="2" applyNumberFormat="1" applyFont="1" applyBorder="1" applyAlignment="1">
      <alignment horizontal="center" vertical="center"/>
    </xf>
    <xf numFmtId="2" fontId="13" fillId="12" borderId="1" xfId="2" applyNumberFormat="1" applyFont="1" applyFill="1" applyBorder="1" applyAlignment="1">
      <alignment horizontal="center" vertical="center"/>
    </xf>
    <xf numFmtId="10" fontId="13" fillId="4" borderId="1" xfId="2" applyNumberFormat="1" applyFont="1" applyFill="1" applyBorder="1" applyAlignment="1">
      <alignment horizontal="center" vertical="center"/>
    </xf>
    <xf numFmtId="0" fontId="11" fillId="9" borderId="1" xfId="2" applyFont="1" applyFill="1" applyBorder="1" applyAlignment="1">
      <alignment horizontal="left" vertical="center"/>
    </xf>
    <xf numFmtId="0" fontId="12" fillId="6" borderId="1" xfId="2" applyFont="1" applyFill="1" applyBorder="1" applyAlignment="1">
      <alignment horizontal="left" vertical="center"/>
    </xf>
    <xf numFmtId="166" fontId="13" fillId="9" borderId="1" xfId="2" applyNumberFormat="1" applyFont="1" applyFill="1" applyBorder="1" applyAlignment="1">
      <alignment horizontal="left" vertical="center"/>
    </xf>
    <xf numFmtId="2" fontId="13" fillId="9" borderId="1" xfId="2" applyNumberFormat="1" applyFont="1" applyFill="1" applyBorder="1" applyAlignment="1">
      <alignment horizontal="center" vertical="center"/>
    </xf>
    <xf numFmtId="0" fontId="14" fillId="6" borderId="1" xfId="2" applyFont="1" applyFill="1" applyBorder="1" applyAlignment="1">
      <alignment horizontal="center" vertical="center"/>
    </xf>
    <xf numFmtId="167" fontId="13" fillId="9" borderId="1" xfId="2" applyNumberFormat="1" applyFont="1" applyFill="1" applyBorder="1" applyAlignment="1">
      <alignment horizontal="center" vertical="center"/>
    </xf>
    <xf numFmtId="10" fontId="14" fillId="6" borderId="1" xfId="2" applyNumberFormat="1" applyFont="1" applyFill="1" applyBorder="1" applyAlignment="1">
      <alignment horizontal="center" vertical="center"/>
    </xf>
    <xf numFmtId="168" fontId="14" fillId="6" borderId="1" xfId="2" applyNumberFormat="1" applyFont="1" applyFill="1" applyBorder="1" applyAlignment="1">
      <alignment horizontal="center" vertical="center"/>
    </xf>
    <xf numFmtId="4" fontId="13" fillId="10" borderId="1" xfId="2" applyNumberFormat="1" applyFont="1" applyFill="1" applyBorder="1" applyAlignment="1">
      <alignment horizontal="center" vertical="center"/>
    </xf>
    <xf numFmtId="169" fontId="13" fillId="9" borderId="1" xfId="2" applyNumberFormat="1" applyFont="1" applyFill="1" applyBorder="1" applyAlignment="1">
      <alignment horizontal="center" vertical="center"/>
    </xf>
    <xf numFmtId="10" fontId="13" fillId="9" borderId="1" xfId="2" applyNumberFormat="1" applyFont="1" applyFill="1" applyBorder="1" applyAlignment="1">
      <alignment horizontal="center" vertical="center"/>
    </xf>
    <xf numFmtId="10" fontId="13" fillId="16" borderId="1" xfId="2" applyNumberFormat="1" applyFont="1" applyFill="1" applyBorder="1" applyAlignment="1">
      <alignment horizontal="center" vertical="center"/>
    </xf>
    <xf numFmtId="2" fontId="13" fillId="0" borderId="1" xfId="2" applyNumberFormat="1" applyFont="1" applyBorder="1" applyAlignment="1">
      <alignment horizontal="center" vertical="center"/>
    </xf>
    <xf numFmtId="2" fontId="13" fillId="0" borderId="1" xfId="2" applyNumberFormat="1" applyFont="1" applyBorder="1" applyAlignment="1">
      <alignment horizontal="right" vertical="center"/>
    </xf>
    <xf numFmtId="169" fontId="13" fillId="0" borderId="1" xfId="2" applyNumberFormat="1" applyFont="1" applyBorder="1" applyAlignment="1">
      <alignment horizontal="center" vertical="center"/>
    </xf>
    <xf numFmtId="171" fontId="13" fillId="4" borderId="1" xfId="2" applyNumberFormat="1" applyFont="1" applyFill="1" applyBorder="1" applyAlignment="1">
      <alignment horizontal="right" vertical="center"/>
    </xf>
    <xf numFmtId="168" fontId="14" fillId="17" borderId="1" xfId="2" applyNumberFormat="1" applyFont="1" applyFill="1" applyBorder="1" applyAlignment="1">
      <alignment horizontal="center" vertical="center"/>
    </xf>
    <xf numFmtId="0" fontId="12" fillId="17" borderId="1" xfId="2" applyFont="1" applyFill="1" applyBorder="1" applyAlignment="1">
      <alignment horizontal="left" vertical="center"/>
    </xf>
    <xf numFmtId="169" fontId="13" fillId="18" borderId="1" xfId="2" applyNumberFormat="1" applyFont="1" applyFill="1" applyBorder="1" applyAlignment="1">
      <alignment horizontal="center" vertical="center"/>
    </xf>
    <xf numFmtId="2" fontId="13" fillId="18" borderId="1" xfId="2" applyNumberFormat="1" applyFont="1" applyFill="1" applyBorder="1" applyAlignment="1">
      <alignment horizontal="center" vertical="center"/>
    </xf>
    <xf numFmtId="0" fontId="14" fillId="17" borderId="1" xfId="2" applyFont="1" applyFill="1" applyBorder="1" applyAlignment="1">
      <alignment horizontal="center" vertical="center"/>
    </xf>
    <xf numFmtId="2" fontId="13" fillId="18" borderId="1" xfId="2" applyNumberFormat="1" applyFont="1" applyFill="1" applyBorder="1" applyAlignment="1">
      <alignment horizontal="right" vertical="center"/>
    </xf>
    <xf numFmtId="171" fontId="13" fillId="18" borderId="1" xfId="2" applyNumberFormat="1" applyFont="1" applyFill="1" applyBorder="1" applyAlignment="1">
      <alignment horizontal="right" vertical="center"/>
    </xf>
    <xf numFmtId="10" fontId="13" fillId="18" borderId="1" xfId="2" applyNumberFormat="1" applyFont="1" applyFill="1" applyBorder="1" applyAlignment="1">
      <alignment horizontal="center" vertical="center"/>
    </xf>
    <xf numFmtId="10" fontId="14" fillId="17" borderId="1" xfId="2" applyNumberFormat="1" applyFont="1" applyFill="1" applyBorder="1" applyAlignment="1">
      <alignment horizontal="center" vertical="center"/>
    </xf>
    <xf numFmtId="10" fontId="13" fillId="17" borderId="1" xfId="2" applyNumberFormat="1" applyFont="1" applyFill="1" applyBorder="1" applyAlignment="1">
      <alignment horizontal="center" vertical="center"/>
    </xf>
    <xf numFmtId="0" fontId="13" fillId="4" borderId="1" xfId="2" applyFont="1" applyFill="1" applyBorder="1" applyAlignment="1">
      <alignment horizontal="center" vertical="center"/>
    </xf>
    <xf numFmtId="0" fontId="13" fillId="18" borderId="1" xfId="2" applyFont="1" applyFill="1" applyBorder="1" applyAlignment="1">
      <alignment horizontal="center" vertical="center"/>
    </xf>
    <xf numFmtId="10" fontId="6" fillId="0" borderId="1" xfId="3" applyNumberFormat="1" applyFont="1" applyBorder="1"/>
    <xf numFmtId="2" fontId="13" fillId="4" borderId="1" xfId="2" applyNumberFormat="1" applyFont="1" applyFill="1" applyBorder="1" applyAlignment="1">
      <alignment horizontal="right"/>
    </xf>
    <xf numFmtId="2" fontId="13" fillId="14" borderId="1" xfId="2" applyNumberFormat="1" applyFont="1" applyFill="1" applyBorder="1" applyAlignment="1">
      <alignment horizontal="right"/>
    </xf>
    <xf numFmtId="166" fontId="13" fillId="4" borderId="1" xfId="2" applyNumberFormat="1" applyFont="1" applyFill="1" applyBorder="1" applyAlignment="1">
      <alignment horizontal="center" vertical="center"/>
    </xf>
    <xf numFmtId="166" fontId="13" fillId="4" borderId="2" xfId="2" applyNumberFormat="1" applyFont="1" applyFill="1" applyBorder="1" applyAlignment="1">
      <alignment horizontal="center" vertical="center"/>
    </xf>
    <xf numFmtId="0" fontId="17" fillId="7" borderId="2" xfId="0" applyFont="1" applyFill="1" applyBorder="1"/>
    <xf numFmtId="0" fontId="16" fillId="0" borderId="0" xfId="0" applyFont="1"/>
    <xf numFmtId="0" fontId="17" fillId="0" borderId="0" xfId="0" applyFont="1"/>
    <xf numFmtId="0" fontId="17" fillId="0" borderId="3" xfId="0" applyFont="1" applyBorder="1"/>
    <xf numFmtId="0" fontId="17" fillId="13" borderId="0" xfId="0" applyFont="1" applyFill="1"/>
    <xf numFmtId="0" fontId="17" fillId="0" borderId="4" xfId="0" applyFont="1" applyBorder="1"/>
    <xf numFmtId="0" fontId="18" fillId="19" borderId="1" xfId="0" applyFont="1" applyFill="1" applyBorder="1" applyAlignment="1">
      <alignment horizontal="center" vertical="center"/>
    </xf>
    <xf numFmtId="0" fontId="17" fillId="0" borderId="1" xfId="0" applyFont="1" applyBorder="1"/>
    <xf numFmtId="0" fontId="17" fillId="7" borderId="1" xfId="0" applyFont="1" applyFill="1" applyBorder="1"/>
    <xf numFmtId="0" fontId="17" fillId="13" borderId="1" xfId="0" applyFont="1" applyFill="1" applyBorder="1"/>
    <xf numFmtId="0" fontId="14" fillId="0" borderId="1" xfId="2" applyFont="1" applyBorder="1" applyAlignment="1">
      <alignment horizontal="right"/>
    </xf>
    <xf numFmtId="167" fontId="13" fillId="4" borderId="1" xfId="2" applyNumberFormat="1" applyFont="1" applyFill="1" applyBorder="1" applyAlignment="1">
      <alignment horizontal="right"/>
    </xf>
    <xf numFmtId="10" fontId="14" fillId="0" borderId="1" xfId="2" applyNumberFormat="1" applyFont="1" applyBorder="1" applyAlignment="1">
      <alignment horizontal="right"/>
    </xf>
    <xf numFmtId="168" fontId="14" fillId="0" borderId="1" xfId="2" applyNumberFormat="1" applyFont="1" applyBorder="1" applyAlignment="1">
      <alignment horizontal="right"/>
    </xf>
    <xf numFmtId="4" fontId="13" fillId="11" borderId="1" xfId="2" applyNumberFormat="1" applyFont="1" applyFill="1" applyBorder="1" applyAlignment="1">
      <alignment horizontal="right"/>
    </xf>
    <xf numFmtId="169" fontId="13" fillId="4" borderId="1" xfId="2" applyNumberFormat="1" applyFont="1" applyFill="1" applyBorder="1" applyAlignment="1">
      <alignment horizontal="right"/>
    </xf>
    <xf numFmtId="10" fontId="13" fillId="0" borderId="1" xfId="2" applyNumberFormat="1" applyFont="1" applyBorder="1" applyAlignment="1">
      <alignment horizontal="right"/>
    </xf>
    <xf numFmtId="2" fontId="13" fillId="12" borderId="1" xfId="2" applyNumberFormat="1" applyFont="1" applyFill="1" applyBorder="1" applyAlignment="1">
      <alignment horizontal="right"/>
    </xf>
    <xf numFmtId="10" fontId="6" fillId="0" borderId="1" xfId="3" applyNumberFormat="1" applyFont="1" applyBorder="1" applyAlignment="1">
      <alignment horizontal="right"/>
    </xf>
    <xf numFmtId="4" fontId="4" fillId="0" borderId="1" xfId="2" applyNumberFormat="1" applyBorder="1" applyAlignment="1">
      <alignment horizontal="right"/>
    </xf>
    <xf numFmtId="10" fontId="13" fillId="4" borderId="1" xfId="2" applyNumberFormat="1" applyFont="1" applyFill="1" applyBorder="1" applyAlignment="1">
      <alignment horizontal="right"/>
    </xf>
    <xf numFmtId="0" fontId="14" fillId="13" borderId="1" xfId="2" applyFont="1" applyFill="1" applyBorder="1" applyAlignment="1">
      <alignment horizontal="right"/>
    </xf>
    <xf numFmtId="167" fontId="13" fillId="14" borderId="1" xfId="2" applyNumberFormat="1" applyFont="1" applyFill="1" applyBorder="1" applyAlignment="1">
      <alignment horizontal="right"/>
    </xf>
    <xf numFmtId="10" fontId="14" fillId="13" borderId="1" xfId="2" applyNumberFormat="1" applyFont="1" applyFill="1" applyBorder="1" applyAlignment="1">
      <alignment horizontal="right"/>
    </xf>
    <xf numFmtId="168" fontId="14" fillId="13" borderId="1" xfId="2" applyNumberFormat="1" applyFont="1" applyFill="1" applyBorder="1" applyAlignment="1">
      <alignment horizontal="right"/>
    </xf>
    <xf numFmtId="4" fontId="13" fillId="15" borderId="1" xfId="2" applyNumberFormat="1" applyFont="1" applyFill="1" applyBorder="1" applyAlignment="1">
      <alignment horizontal="right"/>
    </xf>
    <xf numFmtId="169" fontId="13" fillId="14" borderId="1" xfId="2" applyNumberFormat="1" applyFont="1" applyFill="1" applyBorder="1" applyAlignment="1">
      <alignment horizontal="right"/>
    </xf>
    <xf numFmtId="10" fontId="13" fillId="14" borderId="1" xfId="2" applyNumberFormat="1" applyFont="1" applyFill="1" applyBorder="1" applyAlignment="1">
      <alignment horizontal="right"/>
    </xf>
    <xf numFmtId="10" fontId="6" fillId="13" borderId="1" xfId="3" applyNumberFormat="1" applyFont="1" applyFill="1" applyBorder="1" applyAlignment="1">
      <alignment horizontal="right"/>
    </xf>
    <xf numFmtId="4" fontId="4" fillId="13" borderId="1" xfId="2" applyNumberFormat="1" applyFill="1" applyBorder="1" applyAlignment="1">
      <alignment horizontal="right"/>
    </xf>
    <xf numFmtId="2" fontId="13" fillId="4" borderId="2" xfId="2" applyNumberFormat="1" applyFont="1" applyFill="1" applyBorder="1" applyAlignment="1">
      <alignment horizontal="right"/>
    </xf>
    <xf numFmtId="2" fontId="14" fillId="0" borderId="2" xfId="2" applyNumberFormat="1" applyFont="1" applyBorder="1" applyAlignment="1">
      <alignment horizontal="right"/>
    </xf>
    <xf numFmtId="167" fontId="13" fillId="4" borderId="2" xfId="2" applyNumberFormat="1" applyFont="1" applyFill="1" applyBorder="1" applyAlignment="1">
      <alignment horizontal="right"/>
    </xf>
    <xf numFmtId="10" fontId="14" fillId="0" borderId="2" xfId="2" applyNumberFormat="1" applyFont="1" applyBorder="1" applyAlignment="1">
      <alignment horizontal="right"/>
    </xf>
    <xf numFmtId="168" fontId="14" fillId="0" borderId="2" xfId="2" applyNumberFormat="1" applyFont="1" applyBorder="1" applyAlignment="1">
      <alignment horizontal="right"/>
    </xf>
    <xf numFmtId="4" fontId="13" fillId="11" borderId="2" xfId="2" applyNumberFormat="1" applyFont="1" applyFill="1" applyBorder="1" applyAlignment="1">
      <alignment horizontal="right"/>
    </xf>
    <xf numFmtId="169" fontId="13" fillId="4" borderId="2" xfId="2" applyNumberFormat="1" applyFont="1" applyFill="1" applyBorder="1" applyAlignment="1">
      <alignment horizontal="right"/>
    </xf>
    <xf numFmtId="10" fontId="13" fillId="4" borderId="2" xfId="2" applyNumberFormat="1" applyFont="1" applyFill="1" applyBorder="1" applyAlignment="1">
      <alignment horizontal="right"/>
    </xf>
    <xf numFmtId="2" fontId="13" fillId="12" borderId="2" xfId="2" applyNumberFormat="1" applyFont="1" applyFill="1" applyBorder="1" applyAlignment="1">
      <alignment horizontal="right"/>
    </xf>
    <xf numFmtId="2" fontId="14" fillId="13" borderId="2" xfId="2" applyNumberFormat="1" applyFont="1" applyFill="1" applyBorder="1" applyAlignment="1">
      <alignment horizontal="right"/>
    </xf>
    <xf numFmtId="2" fontId="13" fillId="14" borderId="2" xfId="2" applyNumberFormat="1" applyFont="1" applyFill="1" applyBorder="1" applyAlignment="1">
      <alignment horizontal="right"/>
    </xf>
    <xf numFmtId="0" fontId="15" fillId="0" borderId="1" xfId="2" applyFont="1" applyBorder="1" applyAlignment="1">
      <alignment horizontal="left" vertical="top"/>
    </xf>
    <xf numFmtId="0" fontId="15" fillId="13" borderId="1" xfId="2" applyFont="1" applyFill="1" applyBorder="1" applyAlignment="1">
      <alignment horizontal="left" vertical="top"/>
    </xf>
    <xf numFmtId="2" fontId="15" fillId="0" borderId="2" xfId="2" applyNumberFormat="1" applyFont="1" applyBorder="1" applyAlignment="1">
      <alignment horizontal="left" vertical="top"/>
    </xf>
    <xf numFmtId="2" fontId="15" fillId="13" borderId="2" xfId="2" applyNumberFormat="1" applyFont="1" applyFill="1" applyBorder="1" applyAlignment="1">
      <alignment horizontal="left" vertical="top"/>
    </xf>
    <xf numFmtId="0" fontId="21" fillId="0" borderId="0" xfId="2" applyFont="1"/>
    <xf numFmtId="0" fontId="24" fillId="0" borderId="1" xfId="2" applyFont="1" applyBorder="1" applyAlignment="1">
      <alignment vertical="center"/>
    </xf>
    <xf numFmtId="166" fontId="24" fillId="0" borderId="1" xfId="2" applyNumberFormat="1" applyFont="1" applyBorder="1" applyAlignment="1">
      <alignment vertical="center"/>
    </xf>
    <xf numFmtId="0" fontId="25" fillId="0" borderId="1" xfId="2" applyFont="1" applyBorder="1" applyAlignment="1">
      <alignment horizontal="center" vertical="center"/>
    </xf>
    <xf numFmtId="2" fontId="24" fillId="0" borderId="1" xfId="2" applyNumberFormat="1" applyFont="1" applyBorder="1" applyAlignment="1">
      <alignment horizontal="center" vertical="center"/>
    </xf>
    <xf numFmtId="0" fontId="24" fillId="0" borderId="1" xfId="2" applyFont="1" applyBorder="1" applyAlignment="1">
      <alignment horizontal="center" vertical="center"/>
    </xf>
    <xf numFmtId="169" fontId="24" fillId="0" borderId="1" xfId="2" applyNumberFormat="1" applyFont="1" applyBorder="1" applyAlignment="1">
      <alignment horizontal="center" vertical="center"/>
    </xf>
    <xf numFmtId="0" fontId="24" fillId="3" borderId="1" xfId="2" applyFont="1" applyFill="1" applyBorder="1" applyAlignment="1">
      <alignment vertical="center"/>
    </xf>
    <xf numFmtId="166" fontId="24" fillId="3" borderId="1" xfId="2" applyNumberFormat="1" applyFont="1" applyFill="1" applyBorder="1" applyAlignment="1">
      <alignment vertical="center"/>
    </xf>
    <xf numFmtId="0" fontId="25" fillId="3" borderId="1" xfId="2" applyFont="1" applyFill="1" applyBorder="1" applyAlignment="1">
      <alignment horizontal="center" vertical="center"/>
    </xf>
    <xf numFmtId="2" fontId="24" fillId="3" borderId="1" xfId="2" applyNumberFormat="1" applyFont="1" applyFill="1" applyBorder="1" applyAlignment="1">
      <alignment horizontal="center" vertical="center"/>
    </xf>
    <xf numFmtId="0" fontId="24" fillId="3" borderId="1" xfId="2" applyFont="1" applyFill="1" applyBorder="1" applyAlignment="1">
      <alignment horizontal="center" vertical="center"/>
    </xf>
    <xf numFmtId="169" fontId="24" fillId="3" borderId="1" xfId="2" applyNumberFormat="1" applyFont="1" applyFill="1" applyBorder="1" applyAlignment="1">
      <alignment horizontal="center" vertical="center"/>
    </xf>
    <xf numFmtId="0" fontId="27" fillId="0" borderId="0" xfId="2" applyFont="1" applyAlignment="1">
      <alignment vertical="center" wrapText="1"/>
    </xf>
    <xf numFmtId="166" fontId="24" fillId="0" borderId="1" xfId="2" applyNumberFormat="1" applyFont="1" applyBorder="1" applyAlignment="1">
      <alignment horizontal="right" vertical="center"/>
    </xf>
    <xf numFmtId="0" fontId="23" fillId="22" borderId="6" xfId="2" applyFont="1" applyFill="1" applyBorder="1" applyAlignment="1">
      <alignment horizontal="center" vertical="center"/>
    </xf>
    <xf numFmtId="0" fontId="23" fillId="22" borderId="6" xfId="2" applyFont="1" applyFill="1" applyBorder="1" applyAlignment="1">
      <alignment horizontal="center" vertical="center" wrapText="1"/>
    </xf>
    <xf numFmtId="173" fontId="23" fillId="22" borderId="6" xfId="2" applyNumberFormat="1" applyFont="1" applyFill="1" applyBorder="1" applyAlignment="1">
      <alignment horizontal="center" vertical="center"/>
    </xf>
    <xf numFmtId="0" fontId="23" fillId="0" borderId="0" xfId="2" applyFont="1" applyAlignment="1">
      <alignment horizontal="center" vertical="center"/>
    </xf>
    <xf numFmtId="175" fontId="24" fillId="2" borderId="6" xfId="2" applyNumberFormat="1" applyFont="1" applyFill="1" applyBorder="1" applyAlignment="1">
      <alignment vertical="center"/>
    </xf>
    <xf numFmtId="2" fontId="24" fillId="2" borderId="6" xfId="2" applyNumberFormat="1" applyFont="1" applyFill="1" applyBorder="1" applyAlignment="1">
      <alignment horizontal="center" vertical="center"/>
    </xf>
    <xf numFmtId="0" fontId="24" fillId="2" borderId="6" xfId="2" applyFont="1" applyFill="1" applyBorder="1" applyAlignment="1">
      <alignment horizontal="center" vertical="center"/>
    </xf>
    <xf numFmtId="169" fontId="24" fillId="2" borderId="6" xfId="2" applyNumberFormat="1" applyFont="1" applyFill="1" applyBorder="1" applyAlignment="1">
      <alignment horizontal="center" vertical="center"/>
    </xf>
    <xf numFmtId="174" fontId="24" fillId="2" borderId="6" xfId="2" applyNumberFormat="1" applyFont="1" applyFill="1" applyBorder="1" applyAlignment="1">
      <alignment horizontal="center" vertical="center"/>
    </xf>
    <xf numFmtId="174" fontId="24" fillId="2" borderId="0" xfId="2" applyNumberFormat="1" applyFont="1" applyFill="1" applyAlignment="1">
      <alignment horizontal="center" vertical="center"/>
    </xf>
    <xf numFmtId="175" fontId="24" fillId="23" borderId="6" xfId="2" applyNumberFormat="1" applyFont="1" applyFill="1" applyBorder="1" applyAlignment="1">
      <alignment vertical="center"/>
    </xf>
    <xf numFmtId="2" fontId="24" fillId="23" borderId="6" xfId="2" applyNumberFormat="1" applyFont="1" applyFill="1" applyBorder="1" applyAlignment="1">
      <alignment horizontal="center" vertical="center"/>
    </xf>
    <xf numFmtId="0" fontId="23" fillId="22" borderId="1" xfId="2" applyFont="1" applyFill="1" applyBorder="1" applyAlignment="1">
      <alignment vertical="center" wrapText="1"/>
    </xf>
    <xf numFmtId="0" fontId="23" fillId="22" borderId="1" xfId="2" applyFont="1" applyFill="1" applyBorder="1" applyAlignment="1">
      <alignment horizontal="center" vertical="center" wrapText="1"/>
    </xf>
    <xf numFmtId="173" fontId="23" fillId="22" borderId="1" xfId="2" applyNumberFormat="1" applyFont="1" applyFill="1" applyBorder="1" applyAlignment="1">
      <alignment horizontal="center" vertical="center" wrapText="1"/>
    </xf>
    <xf numFmtId="171" fontId="25" fillId="0" borderId="1" xfId="2" applyNumberFormat="1" applyFont="1" applyBorder="1" applyAlignment="1">
      <alignment horizontal="center" vertical="center"/>
    </xf>
    <xf numFmtId="171" fontId="25" fillId="3" borderId="1" xfId="2" applyNumberFormat="1" applyFont="1" applyFill="1" applyBorder="1" applyAlignment="1">
      <alignment horizontal="center" vertical="center"/>
    </xf>
    <xf numFmtId="0" fontId="23" fillId="22" borderId="7" xfId="2" applyFont="1" applyFill="1" applyBorder="1" applyAlignment="1">
      <alignment horizontal="center" vertical="center" wrapText="1"/>
    </xf>
    <xf numFmtId="174" fontId="24" fillId="0" borderId="7" xfId="2" applyNumberFormat="1" applyFont="1" applyBorder="1" applyAlignment="1">
      <alignment horizontal="center" vertical="center"/>
    </xf>
    <xf numFmtId="174" fontId="24" fillId="3" borderId="7" xfId="2" applyNumberFormat="1" applyFont="1" applyFill="1" applyBorder="1" applyAlignment="1">
      <alignment horizontal="center" vertical="center"/>
    </xf>
    <xf numFmtId="0" fontId="32" fillId="22" borderId="8" xfId="2" applyFont="1" applyFill="1" applyBorder="1" applyAlignment="1">
      <alignment horizontal="center" vertical="center"/>
    </xf>
    <xf numFmtId="0" fontId="23" fillId="22" borderId="9" xfId="2" applyFont="1" applyFill="1" applyBorder="1" applyAlignment="1">
      <alignment horizontal="center" vertical="center" wrapText="1"/>
    </xf>
    <xf numFmtId="171" fontId="21" fillId="0" borderId="5" xfId="2" applyNumberFormat="1" applyFont="1" applyBorder="1"/>
    <xf numFmtId="0" fontId="17" fillId="0" borderId="5" xfId="0" applyFont="1" applyBorder="1"/>
    <xf numFmtId="0" fontId="17" fillId="2" borderId="5" xfId="0" applyFont="1" applyFill="1" applyBorder="1" applyAlignment="1">
      <alignment horizontal="center"/>
    </xf>
    <xf numFmtId="171" fontId="21" fillId="3" borderId="5" xfId="2" applyNumberFormat="1" applyFont="1" applyFill="1" applyBorder="1"/>
    <xf numFmtId="0" fontId="17" fillId="3" borderId="5" xfId="0" applyFont="1" applyFill="1" applyBorder="1"/>
    <xf numFmtId="0" fontId="17" fillId="3" borderId="5" xfId="0" applyFont="1" applyFill="1" applyBorder="1" applyAlignment="1">
      <alignment horizontal="center"/>
    </xf>
    <xf numFmtId="0" fontId="32" fillId="0" borderId="0" xfId="2" applyFont="1" applyAlignment="1">
      <alignment horizontal="center"/>
    </xf>
    <xf numFmtId="0" fontId="23" fillId="0" borderId="0" xfId="2" applyFont="1" applyAlignment="1">
      <alignment horizontal="center" vertical="center" wrapText="1"/>
    </xf>
    <xf numFmtId="0" fontId="23" fillId="22" borderId="5" xfId="2" applyFont="1" applyFill="1" applyBorder="1" applyAlignment="1">
      <alignment horizontal="center" vertical="center" wrapText="1"/>
    </xf>
    <xf numFmtId="0" fontId="20" fillId="21" borderId="0" xfId="2" applyFont="1" applyFill="1" applyAlignment="1">
      <alignment horizontal="left"/>
    </xf>
    <xf numFmtId="0" fontId="21" fillId="0" borderId="5" xfId="2" applyFont="1" applyBorder="1"/>
    <xf numFmtId="0" fontId="34" fillId="0" borderId="5" xfId="2" applyFont="1" applyBorder="1" applyAlignment="1">
      <alignment horizontal="left" vertical="center"/>
    </xf>
    <xf numFmtId="0" fontId="23" fillId="0" borderId="5" xfId="2" applyFont="1" applyBorder="1" applyAlignment="1">
      <alignment vertical="center"/>
    </xf>
    <xf numFmtId="0" fontId="36" fillId="0" borderId="5" xfId="2" applyFont="1" applyBorder="1" applyAlignment="1">
      <alignment wrapText="1"/>
    </xf>
    <xf numFmtId="0" fontId="19" fillId="0" borderId="5" xfId="2" applyFont="1" applyBorder="1" applyAlignment="1">
      <alignment horizontal="left" vertical="center"/>
    </xf>
    <xf numFmtId="170" fontId="41" fillId="0" borderId="5" xfId="2" applyNumberFormat="1" applyFont="1" applyBorder="1" applyAlignment="1">
      <alignment horizontal="right"/>
    </xf>
    <xf numFmtId="0" fontId="41" fillId="0" borderId="5" xfId="2" applyFont="1" applyBorder="1" applyAlignment="1">
      <alignment horizontal="right"/>
    </xf>
    <xf numFmtId="0" fontId="42" fillId="0" borderId="5" xfId="2" applyFont="1" applyBorder="1" applyAlignment="1">
      <alignment horizontal="right"/>
    </xf>
    <xf numFmtId="172" fontId="42" fillId="3" borderId="5" xfId="2" applyNumberFormat="1" applyFont="1" applyFill="1" applyBorder="1" applyAlignment="1">
      <alignment horizontal="right"/>
    </xf>
    <xf numFmtId="174" fontId="41" fillId="0" borderId="5" xfId="2" applyNumberFormat="1" applyFont="1" applyBorder="1" applyAlignment="1">
      <alignment horizontal="right"/>
    </xf>
    <xf numFmtId="0" fontId="28" fillId="4" borderId="0" xfId="2" applyFont="1" applyFill="1" applyAlignment="1">
      <alignment horizontal="left" vertical="center"/>
    </xf>
    <xf numFmtId="0" fontId="21" fillId="0" borderId="0" xfId="2" applyFont="1" applyAlignment="1">
      <alignment horizontal="center"/>
    </xf>
    <xf numFmtId="0" fontId="19" fillId="0" borderId="5" xfId="2" applyFont="1" applyBorder="1" applyAlignment="1">
      <alignment vertical="center"/>
    </xf>
    <xf numFmtId="0" fontId="44" fillId="4" borderId="5" xfId="2" applyFont="1" applyFill="1" applyBorder="1" applyAlignment="1">
      <alignment horizontal="left" vertical="center"/>
    </xf>
    <xf numFmtId="0" fontId="31" fillId="0" borderId="0" xfId="0" applyFont="1"/>
    <xf numFmtId="0" fontId="43" fillId="0" borderId="5" xfId="2" applyFont="1" applyBorder="1" applyAlignment="1">
      <alignment vertical="center"/>
    </xf>
    <xf numFmtId="0" fontId="16" fillId="22" borderId="5" xfId="0" applyFont="1" applyFill="1" applyBorder="1" applyAlignment="1">
      <alignment horizontal="center" vertical="top"/>
    </xf>
    <xf numFmtId="169" fontId="41" fillId="0" borderId="5" xfId="2" applyNumberFormat="1" applyFont="1" applyBorder="1" applyAlignment="1">
      <alignment horizontal="right"/>
    </xf>
    <xf numFmtId="0" fontId="35" fillId="0" borderId="5" xfId="2" applyFont="1" applyBorder="1" applyAlignment="1">
      <alignment horizontal="right"/>
    </xf>
    <xf numFmtId="174" fontId="35" fillId="0" borderId="5" xfId="2" applyNumberFormat="1" applyFont="1" applyBorder="1" applyAlignment="1">
      <alignment horizontal="right"/>
    </xf>
    <xf numFmtId="169" fontId="46" fillId="0" borderId="5" xfId="2" applyNumberFormat="1" applyFont="1" applyBorder="1" applyAlignment="1">
      <alignment vertical="center"/>
    </xf>
    <xf numFmtId="169" fontId="46" fillId="0" borderId="0" xfId="2" applyNumberFormat="1" applyFont="1" applyAlignment="1">
      <alignment vertical="center"/>
    </xf>
    <xf numFmtId="2" fontId="49" fillId="0" borderId="5" xfId="2" applyNumberFormat="1" applyFont="1" applyBorder="1" applyAlignment="1">
      <alignment horizontal="right"/>
    </xf>
    <xf numFmtId="0" fontId="25" fillId="0" borderId="5" xfId="2" applyFont="1" applyBorder="1" applyAlignment="1">
      <alignment horizontal="right"/>
    </xf>
    <xf numFmtId="174" fontId="50" fillId="0" borderId="5" xfId="2" applyNumberFormat="1" applyFont="1" applyBorder="1" applyAlignment="1">
      <alignment horizontal="right"/>
    </xf>
    <xf numFmtId="174" fontId="51" fillId="0" borderId="5" xfId="2" applyNumberFormat="1" applyFont="1" applyBorder="1" applyAlignment="1">
      <alignment horizontal="left" vertical="top"/>
    </xf>
    <xf numFmtId="174" fontId="53" fillId="0" borderId="5" xfId="2" applyNumberFormat="1" applyFont="1" applyBorder="1" applyAlignment="1">
      <alignment horizontal="left" vertical="center"/>
    </xf>
    <xf numFmtId="171" fontId="25" fillId="0" borderId="5" xfId="2" applyNumberFormat="1" applyFont="1" applyBorder="1" applyAlignment="1">
      <alignment horizontal="right"/>
    </xf>
    <xf numFmtId="0" fontId="54" fillId="6" borderId="1" xfId="2" applyFont="1" applyFill="1" applyBorder="1" applyAlignment="1">
      <alignment horizontal="center" vertical="center"/>
    </xf>
    <xf numFmtId="0" fontId="11" fillId="9" borderId="2" xfId="2" applyFont="1" applyFill="1" applyBorder="1" applyAlignment="1">
      <alignment horizontal="center" vertical="center"/>
    </xf>
    <xf numFmtId="0" fontId="11" fillId="9" borderId="2" xfId="2" applyFont="1" applyFill="1" applyBorder="1" applyAlignment="1">
      <alignment horizontal="center" vertical="center" wrapText="1"/>
    </xf>
    <xf numFmtId="4" fontId="11" fillId="10" borderId="2" xfId="2" applyNumberFormat="1" applyFont="1" applyFill="1" applyBorder="1" applyAlignment="1">
      <alignment horizontal="center" vertical="center"/>
    </xf>
    <xf numFmtId="0" fontId="54" fillId="6" borderId="2" xfId="2" applyFont="1" applyFill="1" applyBorder="1" applyAlignment="1">
      <alignment horizontal="center" vertical="center"/>
    </xf>
    <xf numFmtId="0" fontId="4" fillId="0" borderId="1" xfId="2" applyBorder="1"/>
    <xf numFmtId="0" fontId="57" fillId="0" borderId="0" xfId="0" applyFont="1" applyAlignment="1">
      <alignment vertical="center"/>
    </xf>
    <xf numFmtId="0" fontId="57" fillId="0" borderId="0" xfId="0" applyFont="1" applyAlignment="1">
      <alignment horizontal="center" vertical="center"/>
    </xf>
    <xf numFmtId="0" fontId="58" fillId="0" borderId="0" xfId="0" applyFont="1" applyAlignment="1">
      <alignment horizontal="center" vertical="center"/>
    </xf>
    <xf numFmtId="0" fontId="5" fillId="0" borderId="0" xfId="0" applyFont="1"/>
    <xf numFmtId="0" fontId="59" fillId="22" borderId="1" xfId="0" applyFont="1" applyFill="1" applyBorder="1" applyAlignment="1">
      <alignment horizontal="center"/>
    </xf>
    <xf numFmtId="0" fontId="59" fillId="22" borderId="1" xfId="0" applyFont="1" applyFill="1" applyBorder="1" applyAlignment="1">
      <alignment horizontal="center" vertical="center"/>
    </xf>
    <xf numFmtId="0" fontId="59" fillId="22" borderId="1" xfId="0" applyFont="1" applyFill="1" applyBorder="1" applyAlignment="1">
      <alignment vertical="center"/>
    </xf>
    <xf numFmtId="175" fontId="57" fillId="0" borderId="1" xfId="0" applyNumberFormat="1" applyFont="1" applyBorder="1"/>
    <xf numFmtId="172" fontId="57" fillId="0" borderId="1" xfId="0" applyNumberFormat="1" applyFont="1" applyBorder="1" applyAlignment="1">
      <alignment horizontal="center" vertical="center"/>
    </xf>
    <xf numFmtId="10" fontId="57" fillId="0" borderId="1" xfId="0" applyNumberFormat="1" applyFont="1" applyBorder="1" applyAlignment="1">
      <alignment horizontal="center" vertical="center"/>
    </xf>
    <xf numFmtId="0" fontId="6" fillId="0" borderId="0" xfId="0" applyFont="1"/>
    <xf numFmtId="2" fontId="57" fillId="0" borderId="1" xfId="0" applyNumberFormat="1" applyFont="1" applyBorder="1" applyAlignment="1">
      <alignment horizontal="right"/>
    </xf>
    <xf numFmtId="0" fontId="6" fillId="0" borderId="1" xfId="0" applyFont="1" applyBorder="1"/>
    <xf numFmtId="14" fontId="6" fillId="0" borderId="1" xfId="0" applyNumberFormat="1" applyFont="1" applyBorder="1"/>
    <xf numFmtId="0" fontId="57" fillId="0" borderId="1" xfId="0" applyFont="1" applyBorder="1" applyAlignment="1">
      <alignment horizontal="right" vertical="center"/>
    </xf>
    <xf numFmtId="0" fontId="6" fillId="0" borderId="1" xfId="0" applyFont="1" applyBorder="1" applyAlignment="1">
      <alignment horizontal="right"/>
    </xf>
    <xf numFmtId="2" fontId="57" fillId="0" borderId="1" xfId="0" applyNumberFormat="1" applyFont="1" applyBorder="1" applyAlignment="1">
      <alignment horizontal="center" vertical="center"/>
    </xf>
    <xf numFmtId="0" fontId="4" fillId="0" borderId="1" xfId="2" applyBorder="1" applyAlignment="1">
      <alignment horizontal="center" vertical="center"/>
    </xf>
    <xf numFmtId="177" fontId="57" fillId="0" borderId="1" xfId="1" applyNumberFormat="1" applyFont="1" applyBorder="1" applyAlignment="1">
      <alignment horizontal="center" vertical="center"/>
    </xf>
    <xf numFmtId="177" fontId="4" fillId="0" borderId="1" xfId="1" applyNumberFormat="1" applyFont="1" applyBorder="1" applyAlignment="1">
      <alignment horizontal="center"/>
    </xf>
    <xf numFmtId="177" fontId="4" fillId="0" borderId="1" xfId="1" applyNumberFormat="1" applyFont="1" applyBorder="1" applyAlignment="1">
      <alignment horizontal="center" vertical="center"/>
    </xf>
    <xf numFmtId="176" fontId="15" fillId="0" borderId="1" xfId="2" applyNumberFormat="1" applyFont="1" applyBorder="1" applyAlignment="1">
      <alignment horizontal="left" vertical="top"/>
    </xf>
    <xf numFmtId="2" fontId="14" fillId="0" borderId="1" xfId="2" applyNumberFormat="1" applyFont="1" applyBorder="1" applyAlignment="1">
      <alignment horizontal="right"/>
    </xf>
    <xf numFmtId="2" fontId="4" fillId="0" borderId="1" xfId="2" applyNumberFormat="1" applyBorder="1"/>
    <xf numFmtId="176" fontId="15" fillId="0" borderId="2" xfId="2" applyNumberFormat="1" applyFont="1" applyBorder="1" applyAlignment="1">
      <alignment horizontal="left" vertical="top"/>
    </xf>
    <xf numFmtId="165" fontId="11" fillId="25" borderId="2" xfId="2" applyNumberFormat="1" applyFont="1" applyFill="1" applyBorder="1" applyAlignment="1">
      <alignment horizontal="center" vertical="center" wrapText="1"/>
    </xf>
    <xf numFmtId="168" fontId="14" fillId="7" borderId="1" xfId="2" applyNumberFormat="1" applyFont="1" applyFill="1" applyBorder="1" applyAlignment="1">
      <alignment horizontal="right"/>
    </xf>
    <xf numFmtId="0" fontId="6" fillId="6" borderId="1" xfId="0" applyFont="1" applyFill="1" applyBorder="1"/>
    <xf numFmtId="1" fontId="13" fillId="4" borderId="1" xfId="2" applyNumberFormat="1" applyFont="1" applyFill="1" applyBorder="1" applyAlignment="1">
      <alignment horizontal="right"/>
    </xf>
    <xf numFmtId="0" fontId="54" fillId="6" borderId="2" xfId="2" applyFont="1" applyFill="1" applyBorder="1" applyAlignment="1">
      <alignment horizontal="center" vertical="center" wrapText="1"/>
    </xf>
    <xf numFmtId="0" fontId="54" fillId="7" borderId="2" xfId="2" applyFont="1" applyFill="1" applyBorder="1" applyAlignment="1">
      <alignment horizontal="center" vertical="center"/>
    </xf>
    <xf numFmtId="10" fontId="14" fillId="7" borderId="1" xfId="2" applyNumberFormat="1" applyFont="1" applyFill="1" applyBorder="1" applyAlignment="1">
      <alignment horizontal="right"/>
    </xf>
    <xf numFmtId="1" fontId="13" fillId="4" borderId="2" xfId="2" applyNumberFormat="1" applyFont="1" applyFill="1" applyBorder="1" applyAlignment="1">
      <alignment horizontal="right"/>
    </xf>
    <xf numFmtId="0" fontId="63" fillId="0" borderId="0" xfId="0" applyFont="1"/>
    <xf numFmtId="0" fontId="8" fillId="0" borderId="1" xfId="0" applyFont="1" applyBorder="1" applyAlignment="1">
      <alignment horizontal="center" vertical="center"/>
    </xf>
    <xf numFmtId="14" fontId="63" fillId="0" borderId="1" xfId="0" applyNumberFormat="1" applyFont="1" applyBorder="1"/>
    <xf numFmtId="10" fontId="63" fillId="0" borderId="1" xfId="0" applyNumberFormat="1" applyFont="1" applyBorder="1"/>
    <xf numFmtId="10" fontId="63" fillId="0" borderId="1" xfId="1" applyNumberFormat="1" applyFont="1" applyBorder="1" applyAlignment="1"/>
    <xf numFmtId="0" fontId="8" fillId="0" borderId="1" xfId="0" applyFont="1" applyBorder="1"/>
    <xf numFmtId="0" fontId="63" fillId="0" borderId="1" xfId="0" applyFont="1" applyBorder="1" applyAlignment="1">
      <alignment vertical="center"/>
    </xf>
    <xf numFmtId="0" fontId="64" fillId="0" borderId="1" xfId="0" applyFont="1" applyBorder="1" applyAlignment="1">
      <alignment horizontal="right" readingOrder="1"/>
    </xf>
    <xf numFmtId="0" fontId="64" fillId="0" borderId="1" xfId="0" applyFont="1" applyBorder="1"/>
    <xf numFmtId="0" fontId="63" fillId="0" borderId="1" xfId="0" applyFont="1" applyBorder="1"/>
    <xf numFmtId="0" fontId="65" fillId="0" borderId="1" xfId="0" applyFont="1" applyBorder="1" applyAlignment="1">
      <alignment horizontal="right" vertical="center"/>
    </xf>
    <xf numFmtId="0" fontId="54" fillId="0" borderId="0" xfId="0" applyFont="1"/>
    <xf numFmtId="0" fontId="64" fillId="0" borderId="0" xfId="0" applyFont="1"/>
    <xf numFmtId="0" fontId="64" fillId="0" borderId="1" xfId="0" applyFont="1" applyBorder="1" applyAlignment="1">
      <alignment wrapText="1" readingOrder="1"/>
    </xf>
    <xf numFmtId="0" fontId="64" fillId="0" borderId="1" xfId="0" applyFont="1" applyBorder="1" applyAlignment="1">
      <alignment readingOrder="1"/>
    </xf>
    <xf numFmtId="0" fontId="64" fillId="0" borderId="0" xfId="0" applyFont="1" applyAlignment="1">
      <alignment readingOrder="1"/>
    </xf>
    <xf numFmtId="0" fontId="66" fillId="28" borderId="0" xfId="0" applyFont="1" applyFill="1" applyAlignment="1">
      <alignment readingOrder="1"/>
    </xf>
    <xf numFmtId="0" fontId="67" fillId="0" borderId="1" xfId="0" applyFont="1" applyBorder="1" applyAlignment="1">
      <alignment readingOrder="1"/>
    </xf>
    <xf numFmtId="178" fontId="63" fillId="0" borderId="1" xfId="0" applyNumberFormat="1" applyFont="1" applyBorder="1" applyAlignment="1">
      <alignment horizontal="center"/>
    </xf>
    <xf numFmtId="170" fontId="64" fillId="0" borderId="1" xfId="0" applyNumberFormat="1" applyFont="1" applyBorder="1" applyAlignment="1">
      <alignment readingOrder="1"/>
    </xf>
    <xf numFmtId="2" fontId="57" fillId="0" borderId="0" xfId="0" applyNumberFormat="1" applyFont="1" applyAlignment="1">
      <alignment horizontal="center"/>
    </xf>
    <xf numFmtId="0" fontId="68" fillId="0" borderId="0" xfId="0" applyFont="1" applyAlignment="1">
      <alignment readingOrder="1"/>
    </xf>
    <xf numFmtId="4" fontId="13" fillId="30" borderId="1" xfId="2" applyNumberFormat="1" applyFont="1" applyFill="1" applyBorder="1" applyAlignment="1">
      <alignment horizontal="right"/>
    </xf>
    <xf numFmtId="14" fontId="13" fillId="4" borderId="1" xfId="2" applyNumberFormat="1" applyFont="1" applyFill="1" applyBorder="1" applyAlignment="1">
      <alignment horizontal="center" vertical="center"/>
    </xf>
    <xf numFmtId="14" fontId="13" fillId="14" borderId="1" xfId="2" applyNumberFormat="1" applyFont="1" applyFill="1" applyBorder="1" applyAlignment="1">
      <alignment horizontal="center" vertical="center"/>
    </xf>
    <xf numFmtId="14" fontId="13" fillId="4" borderId="2" xfId="2" applyNumberFormat="1" applyFont="1" applyFill="1" applyBorder="1" applyAlignment="1">
      <alignment horizontal="center" vertical="center"/>
    </xf>
    <xf numFmtId="14" fontId="13" fillId="14" borderId="2" xfId="2" applyNumberFormat="1" applyFont="1" applyFill="1" applyBorder="1" applyAlignment="1">
      <alignment horizontal="center" vertical="center"/>
    </xf>
    <xf numFmtId="172" fontId="13" fillId="4" borderId="1" xfId="2" applyNumberFormat="1" applyFont="1" applyFill="1" applyBorder="1" applyAlignment="1">
      <alignment horizontal="right"/>
    </xf>
    <xf numFmtId="172" fontId="13" fillId="14" borderId="1" xfId="2" applyNumberFormat="1" applyFont="1" applyFill="1" applyBorder="1" applyAlignment="1">
      <alignment horizontal="right"/>
    </xf>
    <xf numFmtId="14" fontId="15" fillId="0" borderId="1" xfId="2" applyNumberFormat="1" applyFont="1" applyBorder="1" applyAlignment="1">
      <alignment horizontal="left" vertical="top"/>
    </xf>
    <xf numFmtId="14" fontId="15" fillId="0" borderId="2" xfId="2" applyNumberFormat="1" applyFont="1" applyBorder="1" applyAlignment="1">
      <alignment horizontal="left" vertical="top"/>
    </xf>
    <xf numFmtId="1" fontId="14" fillId="0" borderId="1" xfId="2" applyNumberFormat="1" applyFont="1" applyBorder="1" applyAlignment="1">
      <alignment horizontal="right"/>
    </xf>
    <xf numFmtId="1" fontId="14" fillId="0" borderId="2" xfId="2" applyNumberFormat="1" applyFont="1" applyBorder="1" applyAlignment="1">
      <alignment horizontal="right"/>
    </xf>
    <xf numFmtId="0" fontId="70" fillId="19" borderId="5" xfId="0" applyFont="1" applyFill="1" applyBorder="1" applyAlignment="1">
      <alignment horizontal="center" vertical="center"/>
    </xf>
    <xf numFmtId="0" fontId="6" fillId="0" borderId="5" xfId="0" applyFont="1" applyBorder="1"/>
    <xf numFmtId="2" fontId="6" fillId="0" borderId="1" xfId="0" applyNumberFormat="1" applyFont="1" applyBorder="1"/>
    <xf numFmtId="2" fontId="6" fillId="0" borderId="2" xfId="0" applyNumberFormat="1" applyFont="1" applyBorder="1"/>
    <xf numFmtId="0" fontId="71" fillId="0" borderId="5" xfId="0" applyFont="1" applyBorder="1"/>
    <xf numFmtId="0" fontId="68" fillId="0" borderId="5" xfId="0" applyFont="1" applyBorder="1"/>
    <xf numFmtId="0" fontId="6" fillId="3" borderId="5" xfId="0" applyFont="1" applyFill="1" applyBorder="1"/>
    <xf numFmtId="176" fontId="6" fillId="0" borderId="5" xfId="0" applyNumberFormat="1" applyFont="1" applyBorder="1"/>
    <xf numFmtId="0" fontId="6" fillId="0" borderId="12" xfId="0" applyFont="1" applyBorder="1"/>
    <xf numFmtId="0" fontId="70" fillId="19" borderId="1" xfId="0" applyFont="1" applyFill="1" applyBorder="1" applyAlignment="1">
      <alignment horizontal="center" vertical="center"/>
    </xf>
    <xf numFmtId="0" fontId="6" fillId="7" borderId="1" xfId="0" applyFont="1" applyFill="1" applyBorder="1"/>
    <xf numFmtId="0" fontId="6" fillId="13" borderId="1" xfId="0" applyFont="1" applyFill="1" applyBorder="1"/>
    <xf numFmtId="0" fontId="68" fillId="0" borderId="0" xfId="0" applyFont="1" applyAlignment="1">
      <alignment wrapText="1" readingOrder="1"/>
    </xf>
    <xf numFmtId="0" fontId="5" fillId="0" borderId="1" xfId="2" applyFont="1" applyBorder="1" applyAlignment="1">
      <alignment horizontal="center" vertical="center"/>
    </xf>
    <xf numFmtId="177" fontId="5" fillId="0" borderId="1" xfId="1" applyNumberFormat="1" applyFont="1" applyBorder="1" applyAlignment="1">
      <alignment horizontal="center" vertical="center"/>
    </xf>
    <xf numFmtId="177" fontId="5" fillId="0" borderId="1" xfId="1" applyNumberFormat="1" applyFont="1" applyBorder="1" applyAlignment="1">
      <alignment horizontal="center"/>
    </xf>
    <xf numFmtId="14" fontId="63" fillId="0" borderId="0" xfId="0" applyNumberFormat="1" applyFont="1"/>
    <xf numFmtId="10" fontId="63" fillId="0" borderId="0" xfId="0" applyNumberFormat="1" applyFont="1"/>
    <xf numFmtId="10" fontId="63" fillId="0" borderId="0" xfId="1" applyNumberFormat="1" applyFont="1" applyBorder="1" applyAlignment="1"/>
    <xf numFmtId="0" fontId="66" fillId="0" borderId="0" xfId="0" applyFont="1"/>
    <xf numFmtId="179" fontId="6" fillId="29" borderId="0" xfId="0" applyNumberFormat="1" applyFont="1" applyFill="1" applyAlignment="1">
      <alignment readingOrder="1"/>
    </xf>
    <xf numFmtId="14" fontId="6" fillId="0" borderId="0" xfId="0" applyNumberFormat="1" applyFont="1" applyAlignment="1">
      <alignment readingOrder="1"/>
    </xf>
    <xf numFmtId="0" fontId="57" fillId="0" borderId="0" xfId="0" applyFont="1" applyAlignment="1">
      <alignment readingOrder="1"/>
    </xf>
    <xf numFmtId="0" fontId="6" fillId="0" borderId="0" xfId="0" applyFont="1" applyAlignment="1">
      <alignment readingOrder="1"/>
    </xf>
    <xf numFmtId="172" fontId="6" fillId="0" borderId="0" xfId="1" applyNumberFormat="1" applyFont="1" applyBorder="1" applyAlignment="1">
      <alignment readingOrder="1"/>
    </xf>
    <xf numFmtId="0" fontId="5" fillId="0" borderId="0" xfId="2" applyFont="1"/>
    <xf numFmtId="0" fontId="68" fillId="0" borderId="1" xfId="0" applyFont="1" applyBorder="1"/>
    <xf numFmtId="2" fontId="5" fillId="0" borderId="1" xfId="2" applyNumberFormat="1" applyFont="1" applyBorder="1"/>
    <xf numFmtId="174" fontId="5" fillId="0" borderId="1" xfId="2" applyNumberFormat="1" applyFont="1" applyBorder="1"/>
    <xf numFmtId="0" fontId="5" fillId="0" borderId="1" xfId="2" applyFont="1" applyBorder="1"/>
    <xf numFmtId="2" fontId="68" fillId="0" borderId="1" xfId="0" applyNumberFormat="1" applyFont="1" applyBorder="1"/>
    <xf numFmtId="4" fontId="5" fillId="0" borderId="1" xfId="2" applyNumberFormat="1" applyFont="1" applyBorder="1" applyAlignment="1">
      <alignment horizontal="right"/>
    </xf>
    <xf numFmtId="4" fontId="5" fillId="13" borderId="1" xfId="2" applyNumberFormat="1" applyFont="1" applyFill="1" applyBorder="1" applyAlignment="1">
      <alignment horizontal="right"/>
    </xf>
    <xf numFmtId="0" fontId="68" fillId="6" borderId="1" xfId="0" applyFont="1" applyFill="1" applyBorder="1" applyAlignment="1">
      <alignment horizontal="center" vertical="center" wrapText="1"/>
    </xf>
    <xf numFmtId="0" fontId="68" fillId="6" borderId="1" xfId="0" applyFont="1" applyFill="1" applyBorder="1" applyAlignment="1">
      <alignment horizontal="center" wrapText="1"/>
    </xf>
    <xf numFmtId="0" fontId="68" fillId="20" borderId="1" xfId="0" applyFont="1" applyFill="1" applyBorder="1" applyAlignment="1">
      <alignment horizontal="center" vertical="center" wrapText="1"/>
    </xf>
    <xf numFmtId="0" fontId="68" fillId="3" borderId="1" xfId="0" applyFont="1" applyFill="1" applyBorder="1" applyAlignment="1">
      <alignment horizontal="center" vertical="center" wrapText="1"/>
    </xf>
    <xf numFmtId="0" fontId="68" fillId="6" borderId="2" xfId="0" applyFont="1" applyFill="1" applyBorder="1" applyAlignment="1">
      <alignment horizontal="center" vertical="center" wrapText="1"/>
    </xf>
    <xf numFmtId="0" fontId="6" fillId="0" borderId="1" xfId="0" applyFont="1" applyBorder="1" applyAlignment="1">
      <alignment horizontal="left" vertical="top"/>
    </xf>
    <xf numFmtId="169" fontId="6" fillId="0" borderId="1" xfId="0" applyNumberFormat="1" applyFont="1" applyBorder="1"/>
    <xf numFmtId="2" fontId="6" fillId="0" borderId="1" xfId="0" applyNumberFormat="1" applyFont="1" applyBorder="1" applyAlignment="1">
      <alignment horizontal="left" vertical="top"/>
    </xf>
    <xf numFmtId="172" fontId="6" fillId="0" borderId="1" xfId="1" applyNumberFormat="1" applyFont="1" applyBorder="1"/>
    <xf numFmtId="169" fontId="6" fillId="2" borderId="1" xfId="0" applyNumberFormat="1" applyFont="1" applyFill="1" applyBorder="1" applyAlignment="1">
      <alignment horizontal="center"/>
    </xf>
    <xf numFmtId="0" fontId="6" fillId="2" borderId="1" xfId="0" applyFont="1" applyFill="1" applyBorder="1" applyAlignment="1">
      <alignment horizontal="center"/>
    </xf>
    <xf numFmtId="0" fontId="6" fillId="3" borderId="1" xfId="0" applyFont="1" applyFill="1" applyBorder="1" applyAlignment="1">
      <alignment horizontal="left" vertical="top"/>
    </xf>
    <xf numFmtId="14" fontId="6" fillId="3" borderId="1" xfId="0" applyNumberFormat="1" applyFont="1" applyFill="1" applyBorder="1"/>
    <xf numFmtId="0" fontId="6" fillId="3" borderId="1" xfId="0" applyFont="1" applyFill="1" applyBorder="1"/>
    <xf numFmtId="169" fontId="6" fillId="3" borderId="1" xfId="0" applyNumberFormat="1" applyFont="1" applyFill="1" applyBorder="1"/>
    <xf numFmtId="2" fontId="6" fillId="3" borderId="1" xfId="0" applyNumberFormat="1" applyFont="1" applyFill="1" applyBorder="1" applyAlignment="1">
      <alignment horizontal="left" vertical="top"/>
    </xf>
    <xf numFmtId="172" fontId="6" fillId="3" borderId="1" xfId="1" applyNumberFormat="1" applyFont="1" applyFill="1" applyBorder="1"/>
    <xf numFmtId="169" fontId="6" fillId="3" borderId="1" xfId="0" applyNumberFormat="1" applyFont="1" applyFill="1" applyBorder="1" applyAlignment="1">
      <alignment horizontal="center"/>
    </xf>
    <xf numFmtId="0" fontId="6" fillId="3" borderId="1" xfId="0" applyFont="1" applyFill="1" applyBorder="1" applyAlignment="1">
      <alignment horizontal="center"/>
    </xf>
    <xf numFmtId="0" fontId="74" fillId="0" borderId="0" xfId="0" applyFont="1"/>
    <xf numFmtId="0" fontId="68" fillId="22" borderId="5" xfId="0" applyFont="1" applyFill="1" applyBorder="1" applyAlignment="1">
      <alignment horizontal="center" vertical="top"/>
    </xf>
    <xf numFmtId="0" fontId="8" fillId="0" borderId="5" xfId="2" applyFont="1" applyBorder="1" applyAlignment="1">
      <alignment horizontal="left" vertical="center"/>
    </xf>
    <xf numFmtId="0" fontId="76" fillId="0" borderId="5" xfId="2" applyFont="1" applyBorder="1" applyAlignment="1">
      <alignment wrapText="1"/>
    </xf>
    <xf numFmtId="0" fontId="77" fillId="4" borderId="8" xfId="2" applyFont="1" applyFill="1" applyBorder="1" applyAlignment="1">
      <alignment horizontal="left" vertical="center"/>
    </xf>
    <xf numFmtId="169" fontId="78" fillId="0" borderId="5" xfId="2" applyNumberFormat="1" applyFont="1" applyBorder="1" applyAlignment="1">
      <alignment vertical="center"/>
    </xf>
    <xf numFmtId="0" fontId="5" fillId="0" borderId="5" xfId="2" applyFont="1" applyBorder="1"/>
    <xf numFmtId="0" fontId="80" fillId="0" borderId="1" xfId="0" applyFont="1" applyBorder="1"/>
    <xf numFmtId="170" fontId="82" fillId="0" borderId="5" xfId="2" applyNumberFormat="1" applyFont="1" applyBorder="1" applyAlignment="1">
      <alignment horizontal="right"/>
    </xf>
    <xf numFmtId="0" fontId="83" fillId="0" borderId="19" xfId="2" applyFont="1" applyBorder="1" applyAlignment="1">
      <alignment vertical="center"/>
    </xf>
    <xf numFmtId="0" fontId="82" fillId="0" borderId="5" xfId="2" applyFont="1" applyBorder="1" applyAlignment="1">
      <alignment horizontal="right"/>
    </xf>
    <xf numFmtId="2" fontId="86" fillId="6" borderId="5" xfId="2" applyNumberFormat="1" applyFont="1" applyFill="1" applyBorder="1" applyAlignment="1">
      <alignment horizontal="right"/>
    </xf>
    <xf numFmtId="0" fontId="87" fillId="0" borderId="5" xfId="2" applyFont="1" applyBorder="1" applyAlignment="1">
      <alignment horizontal="right"/>
    </xf>
    <xf numFmtId="171" fontId="88" fillId="6" borderId="5" xfId="2" applyNumberFormat="1" applyFont="1" applyFill="1" applyBorder="1" applyAlignment="1">
      <alignment horizontal="right"/>
    </xf>
    <xf numFmtId="172" fontId="89" fillId="3" borderId="5" xfId="4" applyNumberFormat="1" applyFont="1" applyFill="1" applyBorder="1" applyAlignment="1">
      <alignment horizontal="right"/>
    </xf>
    <xf numFmtId="0" fontId="88" fillId="6" borderId="5" xfId="2" applyFont="1" applyFill="1" applyBorder="1" applyAlignment="1">
      <alignment horizontal="right"/>
    </xf>
    <xf numFmtId="0" fontId="90" fillId="0" borderId="0" xfId="2" applyFont="1" applyAlignment="1">
      <alignment vertical="center" wrapText="1"/>
    </xf>
    <xf numFmtId="174" fontId="82" fillId="0" borderId="5" xfId="2" applyNumberFormat="1" applyFont="1" applyBorder="1" applyAlignment="1">
      <alignment horizontal="right"/>
    </xf>
    <xf numFmtId="174" fontId="92" fillId="0" borderId="5" xfId="2" applyNumberFormat="1" applyFont="1" applyBorder="1" applyAlignment="1">
      <alignment horizontal="right"/>
    </xf>
    <xf numFmtId="0" fontId="59" fillId="0" borderId="5" xfId="2" applyFont="1" applyBorder="1" applyAlignment="1">
      <alignment vertical="center"/>
    </xf>
    <xf numFmtId="169" fontId="82" fillId="0" borderId="5" xfId="2" applyNumberFormat="1" applyFont="1" applyBorder="1" applyAlignment="1">
      <alignment horizontal="right"/>
    </xf>
    <xf numFmtId="0" fontId="75" fillId="0" borderId="5" xfId="2" applyFont="1" applyBorder="1" applyAlignment="1">
      <alignment horizontal="right"/>
    </xf>
    <xf numFmtId="0" fontId="8" fillId="0" borderId="5" xfId="2" applyFont="1" applyBorder="1" applyAlignment="1">
      <alignment vertical="center"/>
    </xf>
    <xf numFmtId="174" fontId="75" fillId="0" borderId="5" xfId="2" applyNumberFormat="1" applyFont="1" applyBorder="1" applyAlignment="1">
      <alignment horizontal="right"/>
    </xf>
    <xf numFmtId="174" fontId="59" fillId="0" borderId="5" xfId="2" applyNumberFormat="1" applyFont="1" applyBorder="1" applyAlignment="1">
      <alignment horizontal="right" vertical="center"/>
    </xf>
    <xf numFmtId="0" fontId="95" fillId="4" borderId="0" xfId="2" applyFont="1" applyFill="1" applyAlignment="1">
      <alignment horizontal="left" vertical="center"/>
    </xf>
    <xf numFmtId="0" fontId="5" fillId="0" borderId="0" xfId="2" applyFont="1" applyAlignment="1">
      <alignment horizontal="center"/>
    </xf>
    <xf numFmtId="169" fontId="78" fillId="0" borderId="0" xfId="2" applyNumberFormat="1" applyFont="1" applyAlignment="1">
      <alignment vertical="center"/>
    </xf>
    <xf numFmtId="174" fontId="96" fillId="0" borderId="5" xfId="2" applyNumberFormat="1" applyFont="1" applyBorder="1" applyAlignment="1">
      <alignment horizontal="right"/>
    </xf>
    <xf numFmtId="0" fontId="71" fillId="0" borderId="0" xfId="0" applyFont="1"/>
    <xf numFmtId="0" fontId="97" fillId="26" borderId="1" xfId="0" applyFont="1" applyFill="1" applyBorder="1" applyAlignment="1">
      <alignment horizontal="center" vertical="center"/>
    </xf>
    <xf numFmtId="0" fontId="6" fillId="27" borderId="1" xfId="0" applyFont="1" applyFill="1" applyBorder="1" applyAlignment="1">
      <alignment horizontal="left" vertical="center"/>
    </xf>
    <xf numFmtId="0" fontId="6" fillId="27" borderId="1" xfId="0" applyFont="1" applyFill="1" applyBorder="1" applyAlignment="1">
      <alignment horizontal="left" vertical="center" wrapText="1"/>
    </xf>
    <xf numFmtId="0" fontId="10" fillId="5" borderId="1" xfId="2" applyFont="1" applyFill="1" applyBorder="1" applyAlignment="1">
      <alignment horizontal="left" vertical="center"/>
    </xf>
    <xf numFmtId="0" fontId="67" fillId="0" borderId="12" xfId="2" applyFont="1" applyBorder="1" applyAlignment="1">
      <alignment horizontal="left" vertical="top" wrapText="1"/>
    </xf>
    <xf numFmtId="0" fontId="67" fillId="0" borderId="20" xfId="2" applyFont="1" applyBorder="1" applyAlignment="1">
      <alignment horizontal="left" vertical="top" wrapText="1"/>
    </xf>
    <xf numFmtId="0" fontId="67" fillId="0" borderId="13" xfId="2" applyFont="1" applyBorder="1" applyAlignment="1">
      <alignment horizontal="left" vertical="top" wrapText="1"/>
    </xf>
    <xf numFmtId="0" fontId="67" fillId="0" borderId="14" xfId="2" applyFont="1" applyBorder="1" applyAlignment="1">
      <alignment horizontal="left" vertical="top" wrapText="1"/>
    </xf>
    <xf numFmtId="0" fontId="67" fillId="0" borderId="0" xfId="2" applyFont="1" applyAlignment="1">
      <alignment horizontal="left" vertical="top" wrapText="1"/>
    </xf>
    <xf numFmtId="0" fontId="67" fillId="0" borderId="15" xfId="2" applyFont="1" applyBorder="1" applyAlignment="1">
      <alignment horizontal="left" vertical="top" wrapText="1"/>
    </xf>
    <xf numFmtId="0" fontId="67" fillId="0" borderId="16" xfId="2" applyFont="1" applyBorder="1" applyAlignment="1">
      <alignment horizontal="left" vertical="top" wrapText="1"/>
    </xf>
    <xf numFmtId="0" fontId="67" fillId="0" borderId="21" xfId="2" applyFont="1" applyBorder="1" applyAlignment="1">
      <alignment horizontal="left" vertical="top" wrapText="1"/>
    </xf>
    <xf numFmtId="0" fontId="67" fillId="0" borderId="17" xfId="2" applyFont="1" applyBorder="1" applyAlignment="1">
      <alignment horizontal="left" vertical="top" wrapText="1"/>
    </xf>
    <xf numFmtId="0" fontId="6" fillId="27" borderId="22" xfId="0" applyFont="1" applyFill="1" applyBorder="1" applyAlignment="1">
      <alignment horizontal="center" vertical="center"/>
    </xf>
    <xf numFmtId="0" fontId="6" fillId="27" borderId="23" xfId="0" applyFont="1" applyFill="1" applyBorder="1" applyAlignment="1">
      <alignment horizontal="center" vertical="center"/>
    </xf>
    <xf numFmtId="0" fontId="6" fillId="27" borderId="2" xfId="0" applyFont="1" applyFill="1" applyBorder="1" applyAlignment="1">
      <alignment horizontal="center" vertical="center"/>
    </xf>
    <xf numFmtId="0" fontId="8" fillId="6" borderId="5" xfId="0" applyFont="1" applyFill="1" applyBorder="1" applyAlignment="1">
      <alignment horizontal="center"/>
    </xf>
    <xf numFmtId="0" fontId="68" fillId="22" borderId="5" xfId="0" applyFont="1" applyFill="1" applyBorder="1" applyAlignment="1">
      <alignment horizontal="center" vertical="top"/>
    </xf>
    <xf numFmtId="0" fontId="68" fillId="22" borderId="10" xfId="0" applyFont="1" applyFill="1" applyBorder="1" applyAlignment="1">
      <alignment horizontal="center" vertical="top"/>
    </xf>
    <xf numFmtId="0" fontId="68" fillId="22" borderId="18" xfId="0" applyFont="1" applyFill="1" applyBorder="1" applyAlignment="1">
      <alignment horizontal="center" vertical="top"/>
    </xf>
    <xf numFmtId="0" fontId="68" fillId="22" borderId="11" xfId="0" applyFont="1" applyFill="1" applyBorder="1" applyAlignment="1">
      <alignment horizontal="center" vertical="top"/>
    </xf>
    <xf numFmtId="0" fontId="75" fillId="0" borderId="5" xfId="2" applyFont="1" applyBorder="1" applyAlignment="1">
      <alignment horizontal="center" vertical="center"/>
    </xf>
    <xf numFmtId="0" fontId="5" fillId="0" borderId="10" xfId="2" applyFont="1" applyBorder="1" applyAlignment="1">
      <alignment horizontal="center"/>
    </xf>
    <xf numFmtId="0" fontId="5" fillId="0" borderId="11" xfId="2" applyFont="1" applyBorder="1" applyAlignment="1">
      <alignment horizontal="center"/>
    </xf>
    <xf numFmtId="0" fontId="77" fillId="4" borderId="5" xfId="2" applyFont="1" applyFill="1" applyBorder="1" applyAlignment="1">
      <alignment horizontal="left" vertical="center"/>
    </xf>
    <xf numFmtId="0" fontId="57" fillId="0" borderId="10" xfId="2" applyFont="1" applyBorder="1" applyAlignment="1">
      <alignment horizontal="left" vertical="center" wrapText="1"/>
    </xf>
    <xf numFmtId="0" fontId="57" fillId="0" borderId="18" xfId="2" applyFont="1" applyBorder="1" applyAlignment="1">
      <alignment horizontal="left" vertical="center" wrapText="1"/>
    </xf>
    <xf numFmtId="0" fontId="57" fillId="0" borderId="11" xfId="2" applyFont="1" applyBorder="1" applyAlignment="1">
      <alignment horizontal="left" vertical="center" wrapText="1"/>
    </xf>
    <xf numFmtId="169" fontId="81" fillId="0" borderId="20" xfId="2" applyNumberFormat="1" applyFont="1" applyBorder="1" applyAlignment="1">
      <alignment horizontal="center" vertical="center"/>
    </xf>
    <xf numFmtId="169" fontId="81" fillId="0" borderId="13" xfId="2" applyNumberFormat="1" applyFont="1" applyBorder="1" applyAlignment="1">
      <alignment horizontal="center" vertical="center"/>
    </xf>
    <xf numFmtId="169" fontId="81" fillId="0" borderId="16" xfId="2" applyNumberFormat="1" applyFont="1" applyBorder="1" applyAlignment="1">
      <alignment horizontal="center" vertical="center"/>
    </xf>
    <xf numFmtId="169" fontId="81" fillId="0" borderId="17" xfId="2" applyNumberFormat="1" applyFont="1" applyBorder="1" applyAlignment="1">
      <alignment horizontal="center" vertical="center"/>
    </xf>
    <xf numFmtId="0" fontId="67" fillId="0" borderId="8" xfId="2" applyFont="1" applyBorder="1" applyAlignment="1">
      <alignment horizontal="center" vertical="center"/>
    </xf>
    <xf numFmtId="0" fontId="67" fillId="0" borderId="19" xfId="2" applyFont="1" applyBorder="1" applyAlignment="1">
      <alignment horizontal="center" vertical="center"/>
    </xf>
    <xf numFmtId="0" fontId="59" fillId="0" borderId="10" xfId="2" applyFont="1" applyBorder="1" applyAlignment="1">
      <alignment horizontal="left" vertical="center" wrapText="1"/>
    </xf>
    <xf numFmtId="0" fontId="8" fillId="0" borderId="5" xfId="2" applyFont="1" applyBorder="1" applyAlignment="1">
      <alignment horizontal="left" vertical="center"/>
    </xf>
    <xf numFmtId="0" fontId="63" fillId="0" borderId="5" xfId="0" applyFont="1" applyBorder="1" applyAlignment="1">
      <alignment horizontal="left" vertical="top"/>
    </xf>
    <xf numFmtId="0" fontId="67" fillId="4" borderId="5" xfId="2" applyFont="1" applyFill="1" applyBorder="1" applyAlignment="1">
      <alignment horizontal="left" vertical="center"/>
    </xf>
    <xf numFmtId="0" fontId="84" fillId="0" borderId="10" xfId="2" applyFont="1" applyBorder="1" applyAlignment="1">
      <alignment horizontal="center" vertical="center"/>
    </xf>
    <xf numFmtId="0" fontId="84" fillId="0" borderId="11" xfId="2" applyFont="1" applyBorder="1" applyAlignment="1">
      <alignment horizontal="center" vertical="center"/>
    </xf>
    <xf numFmtId="174" fontId="85" fillId="6" borderId="10" xfId="2" applyNumberFormat="1" applyFont="1" applyFill="1" applyBorder="1" applyAlignment="1">
      <alignment horizontal="left" vertical="top"/>
    </xf>
    <xf numFmtId="174" fontId="85" fillId="6" borderId="11" xfId="2" applyNumberFormat="1" applyFont="1" applyFill="1" applyBorder="1" applyAlignment="1">
      <alignment horizontal="left" vertical="top"/>
    </xf>
    <xf numFmtId="174" fontId="94" fillId="0" borderId="10" xfId="2" applyNumberFormat="1" applyFont="1" applyBorder="1" applyAlignment="1">
      <alignment horizontal="center" vertical="center"/>
    </xf>
    <xf numFmtId="174" fontId="94" fillId="0" borderId="11" xfId="2" applyNumberFormat="1" applyFont="1" applyBorder="1" applyAlignment="1">
      <alignment horizontal="center" vertical="center"/>
    </xf>
    <xf numFmtId="0" fontId="73" fillId="21" borderId="0" xfId="2" applyFont="1" applyFill="1" applyAlignment="1">
      <alignment horizontal="center"/>
    </xf>
    <xf numFmtId="2" fontId="93" fillId="6" borderId="10" xfId="2" applyNumberFormat="1" applyFont="1" applyFill="1" applyBorder="1" applyAlignment="1">
      <alignment horizontal="center" vertical="center"/>
    </xf>
    <xf numFmtId="2" fontId="93" fillId="6" borderId="11" xfId="2" applyNumberFormat="1" applyFont="1" applyFill="1" applyBorder="1" applyAlignment="1">
      <alignment horizontal="center" vertical="center"/>
    </xf>
    <xf numFmtId="0" fontId="59" fillId="0" borderId="5" xfId="2" applyFont="1" applyBorder="1" applyAlignment="1">
      <alignment horizontal="left" vertical="center"/>
    </xf>
    <xf numFmtId="0" fontId="5" fillId="0" borderId="5" xfId="2" applyFont="1" applyBorder="1" applyAlignment="1">
      <alignment horizontal="center"/>
    </xf>
    <xf numFmtId="174" fontId="91" fillId="0" borderId="10" xfId="2" applyNumberFormat="1" applyFont="1" applyBorder="1" applyAlignment="1">
      <alignment horizontal="left"/>
    </xf>
    <xf numFmtId="174" fontId="91" fillId="0" borderId="11" xfId="2" applyNumberFormat="1" applyFont="1" applyBorder="1" applyAlignment="1">
      <alignment horizontal="left"/>
    </xf>
    <xf numFmtId="0" fontId="85" fillId="22" borderId="10" xfId="2" applyFont="1" applyFill="1" applyBorder="1" applyAlignment="1">
      <alignment horizontal="left" vertical="top"/>
    </xf>
    <xf numFmtId="0" fontId="85" fillId="22" borderId="11" xfId="2" applyFont="1" applyFill="1" applyBorder="1" applyAlignment="1">
      <alignment horizontal="left" vertical="top"/>
    </xf>
    <xf numFmtId="0" fontId="32" fillId="22" borderId="5" xfId="2" applyFont="1" applyFill="1" applyBorder="1" applyAlignment="1">
      <alignment horizontal="center"/>
    </xf>
    <xf numFmtId="0" fontId="16" fillId="22" borderId="5" xfId="0" applyFont="1" applyFill="1" applyBorder="1" applyAlignment="1">
      <alignment horizontal="center" vertical="top"/>
    </xf>
    <xf numFmtId="0" fontId="35" fillId="0" borderId="5" xfId="2" applyFont="1" applyBorder="1" applyAlignment="1">
      <alignment horizontal="center" vertical="center"/>
    </xf>
    <xf numFmtId="0" fontId="38" fillId="0" borderId="5" xfId="0" applyFont="1" applyBorder="1" applyAlignment="1">
      <alignment horizontal="left" vertical="top"/>
    </xf>
    <xf numFmtId="0" fontId="19" fillId="0" borderId="5" xfId="2" applyFont="1" applyBorder="1" applyAlignment="1">
      <alignment horizontal="left" vertical="center"/>
    </xf>
    <xf numFmtId="174" fontId="47" fillId="0" borderId="10" xfId="2" applyNumberFormat="1" applyFont="1" applyBorder="1" applyAlignment="1">
      <alignment horizontal="left" vertical="top"/>
    </xf>
    <xf numFmtId="174" fontId="47" fillId="0" borderId="11" xfId="2" applyNumberFormat="1" applyFont="1" applyBorder="1" applyAlignment="1">
      <alignment horizontal="left" vertical="top"/>
    </xf>
    <xf numFmtId="0" fontId="37" fillId="0" borderId="5" xfId="2" applyFont="1" applyBorder="1" applyAlignment="1">
      <alignment horizontal="left" vertical="center"/>
    </xf>
    <xf numFmtId="0" fontId="21" fillId="0" borderId="10" xfId="2" applyFont="1" applyBorder="1" applyAlignment="1">
      <alignment horizontal="center"/>
    </xf>
    <xf numFmtId="0" fontId="21" fillId="0" borderId="11" xfId="2" applyFont="1" applyBorder="1" applyAlignment="1">
      <alignment horizontal="center"/>
    </xf>
    <xf numFmtId="0" fontId="22" fillId="22" borderId="10" xfId="2" applyFont="1" applyFill="1" applyBorder="1" applyAlignment="1">
      <alignment horizontal="left" vertical="top"/>
    </xf>
    <xf numFmtId="0" fontId="22" fillId="22" borderId="11" xfId="2" applyFont="1" applyFill="1" applyBorder="1" applyAlignment="1">
      <alignment horizontal="left" vertical="top"/>
    </xf>
    <xf numFmtId="0" fontId="21" fillId="0" borderId="5" xfId="2" applyFont="1" applyBorder="1" applyAlignment="1">
      <alignment horizontal="center"/>
    </xf>
    <xf numFmtId="0" fontId="23" fillId="0" borderId="5" xfId="2" applyFont="1" applyBorder="1" applyAlignment="1">
      <alignment horizontal="left" vertical="center"/>
    </xf>
    <xf numFmtId="0" fontId="37" fillId="4" borderId="5" xfId="2" applyFont="1" applyFill="1" applyBorder="1" applyAlignment="1">
      <alignment horizontal="left" vertical="center"/>
    </xf>
    <xf numFmtId="174" fontId="52" fillId="0" borderId="10" xfId="2" applyNumberFormat="1" applyFont="1" applyBorder="1" applyAlignment="1">
      <alignment horizontal="center" vertical="center"/>
    </xf>
    <xf numFmtId="174" fontId="52" fillId="0" borderId="11" xfId="2" applyNumberFormat="1" applyFont="1" applyBorder="1" applyAlignment="1">
      <alignment horizontal="center" vertical="center"/>
    </xf>
    <xf numFmtId="0" fontId="24" fillId="0" borderId="10" xfId="2" applyFont="1" applyBorder="1" applyAlignment="1">
      <alignment horizontal="left" vertical="center" wrapText="1"/>
    </xf>
    <xf numFmtId="0" fontId="24" fillId="0" borderId="18" xfId="2" applyFont="1" applyBorder="1" applyAlignment="1">
      <alignment horizontal="left" vertical="center" wrapText="1"/>
    </xf>
    <xf numFmtId="0" fontId="24" fillId="0" borderId="11" xfId="2" applyFont="1" applyBorder="1" applyAlignment="1">
      <alignment horizontal="left" vertical="center" wrapText="1"/>
    </xf>
    <xf numFmtId="0" fontId="23" fillId="0" borderId="10" xfId="2" applyFont="1" applyBorder="1" applyAlignment="1">
      <alignment horizontal="left" vertical="center"/>
    </xf>
    <xf numFmtId="0" fontId="24" fillId="0" borderId="18" xfId="2" applyFont="1" applyBorder="1" applyAlignment="1">
      <alignment horizontal="left" vertical="center"/>
    </xf>
    <xf numFmtId="0" fontId="24" fillId="0" borderId="11" xfId="2" applyFont="1" applyBorder="1" applyAlignment="1">
      <alignment horizontal="left" vertical="center"/>
    </xf>
    <xf numFmtId="0" fontId="24" fillId="0" borderId="10" xfId="2" applyFont="1" applyBorder="1" applyAlignment="1">
      <alignment horizontal="left" vertical="center"/>
    </xf>
    <xf numFmtId="174" fontId="48" fillId="0" borderId="10" xfId="2" applyNumberFormat="1" applyFont="1" applyBorder="1" applyAlignment="1">
      <alignment horizontal="left"/>
    </xf>
    <xf numFmtId="174" fontId="48" fillId="0" borderId="11" xfId="2" applyNumberFormat="1" applyFont="1" applyBorder="1" applyAlignment="1">
      <alignment horizontal="left"/>
    </xf>
    <xf numFmtId="2" fontId="33" fillId="7" borderId="10" xfId="2" applyNumberFormat="1" applyFont="1" applyFill="1" applyBorder="1" applyAlignment="1">
      <alignment horizontal="center" vertical="center"/>
    </xf>
    <xf numFmtId="2" fontId="33" fillId="7" borderId="11" xfId="2" applyNumberFormat="1" applyFont="1" applyFill="1" applyBorder="1" applyAlignment="1">
      <alignment horizontal="center" vertical="center"/>
    </xf>
    <xf numFmtId="0" fontId="39" fillId="0" borderId="10" xfId="2" applyFont="1" applyBorder="1" applyAlignment="1">
      <alignment horizontal="center" vertical="center"/>
    </xf>
    <xf numFmtId="0" fontId="39" fillId="0" borderId="11" xfId="2" applyFont="1" applyBorder="1" applyAlignment="1">
      <alignment horizontal="center" vertical="center"/>
    </xf>
    <xf numFmtId="0" fontId="39" fillId="0" borderId="10" xfId="2" applyFont="1" applyBorder="1" applyAlignment="1">
      <alignment horizontal="center" vertical="center" wrapText="1"/>
    </xf>
    <xf numFmtId="0" fontId="39" fillId="0" borderId="11" xfId="2" applyFont="1" applyBorder="1" applyAlignment="1">
      <alignment horizontal="center" vertical="center" wrapText="1"/>
    </xf>
    <xf numFmtId="0" fontId="44" fillId="4" borderId="5" xfId="2" applyFont="1" applyFill="1" applyBorder="1" applyAlignment="1">
      <alignment horizontal="left" vertical="center"/>
    </xf>
    <xf numFmtId="0" fontId="21" fillId="0" borderId="12" xfId="2" applyFont="1" applyBorder="1" applyAlignment="1">
      <alignment horizontal="center"/>
    </xf>
    <xf numFmtId="0" fontId="21" fillId="0" borderId="13" xfId="2" applyFont="1" applyBorder="1" applyAlignment="1">
      <alignment horizontal="center"/>
    </xf>
    <xf numFmtId="0" fontId="21" fillId="0" borderId="14" xfId="2" applyFont="1" applyBorder="1" applyAlignment="1">
      <alignment horizontal="center"/>
    </xf>
    <xf numFmtId="0" fontId="21" fillId="0" borderId="15" xfId="2" applyFont="1" applyBorder="1" applyAlignment="1">
      <alignment horizontal="center"/>
    </xf>
    <xf numFmtId="0" fontId="21" fillId="0" borderId="16" xfId="2" applyFont="1" applyBorder="1" applyAlignment="1">
      <alignment horizontal="center"/>
    </xf>
    <xf numFmtId="0" fontId="21" fillId="0" borderId="17" xfId="2" applyFont="1" applyBorder="1" applyAlignment="1">
      <alignment horizontal="center"/>
    </xf>
    <xf numFmtId="0" fontId="40" fillId="0" borderId="10" xfId="2" applyFont="1" applyBorder="1" applyAlignment="1">
      <alignment horizontal="center" vertical="center"/>
    </xf>
    <xf numFmtId="0" fontId="40" fillId="0" borderId="11" xfId="2" applyFont="1" applyBorder="1" applyAlignment="1">
      <alignment horizontal="center" vertical="center"/>
    </xf>
    <xf numFmtId="0" fontId="16" fillId="22" borderId="10" xfId="0" applyFont="1" applyFill="1" applyBorder="1" applyAlignment="1">
      <alignment horizontal="center" vertical="top"/>
    </xf>
    <xf numFmtId="0" fontId="16" fillId="22" borderId="18" xfId="0" applyFont="1" applyFill="1" applyBorder="1" applyAlignment="1">
      <alignment horizontal="center" vertical="top"/>
    </xf>
    <xf numFmtId="0" fontId="16" fillId="22" borderId="11" xfId="0" applyFont="1" applyFill="1" applyBorder="1" applyAlignment="1">
      <alignment horizontal="center" vertical="top"/>
    </xf>
    <xf numFmtId="169" fontId="45" fillId="0" borderId="12" xfId="2" applyNumberFormat="1" applyFont="1" applyBorder="1" applyAlignment="1">
      <alignment horizontal="center" vertical="center"/>
    </xf>
    <xf numFmtId="169" fontId="45" fillId="0" borderId="13" xfId="2" applyNumberFormat="1" applyFont="1" applyBorder="1" applyAlignment="1">
      <alignment horizontal="center" vertical="center"/>
    </xf>
    <xf numFmtId="169" fontId="45" fillId="0" borderId="16" xfId="2" applyNumberFormat="1" applyFont="1" applyBorder="1" applyAlignment="1">
      <alignment horizontal="center" vertical="center"/>
    </xf>
    <xf numFmtId="169" fontId="45" fillId="0" borderId="17" xfId="2" applyNumberFormat="1" applyFont="1" applyBorder="1" applyAlignment="1">
      <alignment horizontal="center" vertical="center"/>
    </xf>
    <xf numFmtId="0" fontId="37" fillId="0" borderId="8" xfId="2" applyFont="1" applyBorder="1" applyAlignment="1">
      <alignment horizontal="center" vertical="center"/>
    </xf>
    <xf numFmtId="0" fontId="37" fillId="0" borderId="19" xfId="2" applyFont="1" applyBorder="1" applyAlignment="1">
      <alignment horizontal="center" vertical="center"/>
    </xf>
    <xf numFmtId="0" fontId="10" fillId="5" borderId="1" xfId="2" applyFont="1" applyFill="1" applyBorder="1" applyAlignment="1">
      <alignment horizontal="center" vertical="center"/>
    </xf>
    <xf numFmtId="0" fontId="55" fillId="24" borderId="0" xfId="0" applyFont="1" applyFill="1" applyAlignment="1">
      <alignment vertical="center"/>
    </xf>
    <xf numFmtId="0" fontId="60" fillId="24" borderId="0" xfId="0" applyFont="1" applyFill="1" applyAlignment="1">
      <alignment vertical="center"/>
    </xf>
    <xf numFmtId="0" fontId="8" fillId="0" borderId="0" xfId="0" applyFont="1" applyAlignment="1">
      <alignment horizontal="left"/>
    </xf>
    <xf numFmtId="0" fontId="72" fillId="6" borderId="0" xfId="0" applyFont="1" applyFill="1" applyAlignment="1">
      <alignment horizontal="center"/>
    </xf>
    <xf numFmtId="0" fontId="70" fillId="19" borderId="1" xfId="0" applyFont="1" applyFill="1" applyBorder="1" applyAlignment="1">
      <alignment horizontal="center" vertical="center"/>
    </xf>
    <xf numFmtId="0" fontId="16" fillId="0" borderId="1" xfId="0" applyFont="1" applyBorder="1" applyAlignment="1">
      <alignment horizontal="center" vertical="center"/>
    </xf>
    <xf numFmtId="0" fontId="70" fillId="19" borderId="1" xfId="0" applyFont="1" applyFill="1" applyBorder="1" applyAlignment="1">
      <alignment horizontal="center"/>
    </xf>
    <xf numFmtId="0" fontId="70" fillId="19" borderId="5" xfId="0" applyFont="1" applyFill="1" applyBorder="1" applyAlignment="1">
      <alignment horizontal="center" vertical="center"/>
    </xf>
    <xf numFmtId="0" fontId="68" fillId="0" borderId="1" xfId="0" applyFont="1" applyBorder="1" applyAlignment="1">
      <alignment horizontal="center" vertical="center"/>
    </xf>
    <xf numFmtId="0" fontId="8" fillId="5" borderId="1" xfId="2" applyFont="1" applyFill="1" applyBorder="1" applyAlignment="1">
      <alignment horizontal="center" vertical="center"/>
    </xf>
    <xf numFmtId="0" fontId="18" fillId="19" borderId="1" xfId="0" applyFont="1" applyFill="1" applyBorder="1" applyAlignment="1">
      <alignment horizontal="center" vertical="center"/>
    </xf>
    <xf numFmtId="0" fontId="18" fillId="19" borderId="1" xfId="0" applyFont="1" applyFill="1" applyBorder="1" applyAlignment="1">
      <alignment horizontal="center"/>
    </xf>
    <xf numFmtId="0" fontId="5" fillId="22" borderId="0" xfId="0" applyFont="1" applyFill="1" applyAlignment="1"/>
    <xf numFmtId="0" fontId="62" fillId="22" borderId="0" xfId="0" applyFont="1" applyFill="1" applyAlignment="1"/>
    <xf numFmtId="0" fontId="6" fillId="0" borderId="1" xfId="0" applyFont="1" applyBorder="1" applyAlignment="1"/>
    <xf numFmtId="0" fontId="17" fillId="0" borderId="1" xfId="0" applyFont="1" applyBorder="1" applyAlignment="1"/>
  </cellXfs>
  <cellStyles count="5">
    <cellStyle name="Hyperlink" xfId="4" builtinId="8"/>
    <cellStyle name="Normal" xfId="0" builtinId="0"/>
    <cellStyle name="Normal 2" xfId="2" xr:uid="{8273E541-EC3D-41F5-A091-EC84472E6FBD}"/>
    <cellStyle name="Normal 2 2" xfId="3" xr:uid="{CF1CCBFE-6227-424C-BA1D-F5F5D99CD4E6}"/>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IMPLIED</a:t>
            </a:r>
            <a:r>
              <a:rPr lang="en-US" baseline="0"/>
              <a:t> VOLATILITY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'Q2. Implied Volatality'!$Q$28</c:f>
              <c:strCache>
                <c:ptCount val="1"/>
                <c:pt idx="0">
                  <c:v>Implied Volatality (σ)
(Calculated)</c:v>
                </c:pt>
              </c:strCache>
            </c:strRef>
          </c:tx>
          <c:spPr>
            <a:ln w="28575" cap="rnd">
              <a:solidFill>
                <a:schemeClr val="accent1"/>
              </a:solidFill>
              <a:round/>
            </a:ln>
            <a:effectLst/>
          </c:spPr>
          <c:marker>
            <c:symbol val="none"/>
          </c:marker>
          <c:val>
            <c:numRef>
              <c:f>'Q2. Implied Volatality'!$Q$29:$Q$68</c:f>
              <c:numCache>
                <c:formatCode>0.00%</c:formatCode>
                <c:ptCount val="40"/>
                <c:pt idx="0">
                  <c:v>2.7717372175800055</c:v>
                </c:pt>
                <c:pt idx="1">
                  <c:v>2.1745580560836046</c:v>
                </c:pt>
                <c:pt idx="2">
                  <c:v>1.524227165743165</c:v>
                </c:pt>
                <c:pt idx="3">
                  <c:v>1.1888254509065661</c:v>
                </c:pt>
                <c:pt idx="4">
                  <c:v>0.846266919661955</c:v>
                </c:pt>
                <c:pt idx="5">
                  <c:v>0.51196974385746219</c:v>
                </c:pt>
                <c:pt idx="6">
                  <c:v>0.29479218946543301</c:v>
                </c:pt>
                <c:pt idx="7">
                  <c:v>0.35143691750706579</c:v>
                </c:pt>
                <c:pt idx="8">
                  <c:v>0.33416131957333672</c:v>
                </c:pt>
                <c:pt idx="9">
                  <c:v>0.31888442321746896</c:v>
                </c:pt>
                <c:pt idx="10">
                  <c:v>0.32493016846383888</c:v>
                </c:pt>
                <c:pt idx="11">
                  <c:v>0.33571549593961175</c:v>
                </c:pt>
                <c:pt idx="12">
                  <c:v>0.36887944487133528</c:v>
                </c:pt>
                <c:pt idx="13">
                  <c:v>0.41238558208438292</c:v>
                </c:pt>
                <c:pt idx="14">
                  <c:v>0.43108974874875816</c:v>
                </c:pt>
                <c:pt idx="15">
                  <c:v>0.47914753184629016</c:v>
                </c:pt>
                <c:pt idx="16">
                  <c:v>0.5605694471652406</c:v>
                </c:pt>
                <c:pt idx="17">
                  <c:v>0.61581756363533646</c:v>
                </c:pt>
                <c:pt idx="18">
                  <c:v>0.6811760709372261</c:v>
                </c:pt>
                <c:pt idx="19">
                  <c:v>0.74076020865759107</c:v>
                </c:pt>
                <c:pt idx="20">
                  <c:v>0.90186219078910623</c:v>
                </c:pt>
                <c:pt idx="21">
                  <c:v>0.88729412766169191</c:v>
                </c:pt>
                <c:pt idx="22">
                  <c:v>0.90032797775837681</c:v>
                </c:pt>
                <c:pt idx="23">
                  <c:v>0.95199994782293351</c:v>
                </c:pt>
                <c:pt idx="24">
                  <c:v>1.0151871276707602</c:v>
                </c:pt>
                <c:pt idx="25">
                  <c:v>1.1699784793414936</c:v>
                </c:pt>
                <c:pt idx="26">
                  <c:v>1.1015345352827022</c:v>
                </c:pt>
                <c:pt idx="27">
                  <c:v>1.1333584902347873</c:v>
                </c:pt>
                <c:pt idx="28">
                  <c:v>1.2172002278315559</c:v>
                </c:pt>
                <c:pt idx="29">
                  <c:v>1.2650306142900269</c:v>
                </c:pt>
                <c:pt idx="30">
                  <c:v>1.1456923729452517</c:v>
                </c:pt>
                <c:pt idx="31">
                  <c:v>1.440240907862729</c:v>
                </c:pt>
                <c:pt idx="32">
                  <c:v>1.7097712860126995</c:v>
                </c:pt>
                <c:pt idx="33">
                  <c:v>1.8577902456789996</c:v>
                </c:pt>
                <c:pt idx="34">
                  <c:v>1.9495305174216773</c:v>
                </c:pt>
                <c:pt idx="35">
                  <c:v>2.0919297482934343</c:v>
                </c:pt>
                <c:pt idx="36">
                  <c:v>2.2269763354346059</c:v>
                </c:pt>
                <c:pt idx="37">
                  <c:v>2.3773719224961907</c:v>
                </c:pt>
                <c:pt idx="38">
                  <c:v>2.5017760106352513</c:v>
                </c:pt>
                <c:pt idx="39">
                  <c:v>2.7082953172654975</c:v>
                </c:pt>
              </c:numCache>
            </c:numRef>
          </c:val>
          <c:smooth val="0"/>
          <c:extLst>
            <c:ext xmlns:c16="http://schemas.microsoft.com/office/drawing/2014/chart" uri="{C3380CC4-5D6E-409C-BE32-E72D297353CC}">
              <c16:uniqueId val="{00000000-1D91-4244-BCE3-17BD08B276D5}"/>
            </c:ext>
          </c:extLst>
        </c:ser>
        <c:ser>
          <c:idx val="1"/>
          <c:order val="1"/>
          <c:tx>
            <c:strRef>
              <c:f>'Q2. Implied Volatality'!$S$28</c:f>
              <c:strCache>
                <c:ptCount val="1"/>
                <c:pt idx="0">
                  <c:v>Implied Volatility</c:v>
                </c:pt>
              </c:strCache>
            </c:strRef>
          </c:tx>
          <c:spPr>
            <a:ln w="28575" cap="rnd">
              <a:solidFill>
                <a:schemeClr val="accent2"/>
              </a:solidFill>
              <a:round/>
            </a:ln>
            <a:effectLst/>
          </c:spPr>
          <c:marker>
            <c:symbol val="none"/>
          </c:marker>
          <c:val>
            <c:numRef>
              <c:f>'Q2. Implied Volatality'!$S$29:$S$68</c:f>
              <c:numCache>
                <c:formatCode>0.00%</c:formatCode>
                <c:ptCount val="40"/>
                <c:pt idx="0">
                  <c:v>1.4609401953125001</c:v>
                </c:pt>
                <c:pt idx="1">
                  <c:v>1.08203583984375</c:v>
                </c:pt>
                <c:pt idx="2">
                  <c:v>0.64844101562500001</c:v>
                </c:pt>
                <c:pt idx="3">
                  <c:v>0.53711400390625008</c:v>
                </c:pt>
                <c:pt idx="4">
                  <c:v>0.43945873046875</c:v>
                </c:pt>
                <c:pt idx="5">
                  <c:v>0.31934274414062491</c:v>
                </c:pt>
                <c:pt idx="6">
                  <c:v>0.29785858398437493</c:v>
                </c:pt>
                <c:pt idx="7">
                  <c:v>0.2924875439453124</c:v>
                </c:pt>
                <c:pt idx="8">
                  <c:v>0.29102271484374992</c:v>
                </c:pt>
                <c:pt idx="9">
                  <c:v>0.29004616210937489</c:v>
                </c:pt>
                <c:pt idx="10">
                  <c:v>0.29077857666015622</c:v>
                </c:pt>
                <c:pt idx="11">
                  <c:v>0.30396203857421872</c:v>
                </c:pt>
                <c:pt idx="12">
                  <c:v>0.30127651855468751</c:v>
                </c:pt>
                <c:pt idx="13">
                  <c:v>0.32178412597656247</c:v>
                </c:pt>
                <c:pt idx="14">
                  <c:v>0.32691102783203119</c:v>
                </c:pt>
                <c:pt idx="15">
                  <c:v>0.36524072265625002</c:v>
                </c:pt>
                <c:pt idx="16">
                  <c:v>0.39111937011718739</c:v>
                </c:pt>
                <c:pt idx="17">
                  <c:v>0.42578699218749999</c:v>
                </c:pt>
                <c:pt idx="18">
                  <c:v>0.44775942871093738</c:v>
                </c:pt>
                <c:pt idx="19">
                  <c:v>0.47998566894531253</c:v>
                </c:pt>
                <c:pt idx="20">
                  <c:v>0.64599963378906244</c:v>
                </c:pt>
                <c:pt idx="21">
                  <c:v>0.56738713867187496</c:v>
                </c:pt>
                <c:pt idx="22">
                  <c:v>0.51221190917968751</c:v>
                </c:pt>
                <c:pt idx="23">
                  <c:v>0.53125468750000004</c:v>
                </c:pt>
                <c:pt idx="24">
                  <c:v>0.58301198242187491</c:v>
                </c:pt>
                <c:pt idx="25">
                  <c:v>0.80298048583984372</c:v>
                </c:pt>
                <c:pt idx="26">
                  <c:v>0.58984785156250008</c:v>
                </c:pt>
                <c:pt idx="27">
                  <c:v>0.58984785156250008</c:v>
                </c:pt>
                <c:pt idx="28">
                  <c:v>0.68652657226562508</c:v>
                </c:pt>
                <c:pt idx="29">
                  <c:v>0.71142866699218754</c:v>
                </c:pt>
                <c:pt idx="30">
                  <c:v>0.71142866699218754</c:v>
                </c:pt>
                <c:pt idx="31">
                  <c:v>0.78613495117187493</c:v>
                </c:pt>
                <c:pt idx="32">
                  <c:v>1.0625046874999999</c:v>
                </c:pt>
                <c:pt idx="33">
                  <c:v>1.065434360351563</c:v>
                </c:pt>
                <c:pt idx="34">
                  <c:v>1.065434360351563</c:v>
                </c:pt>
                <c:pt idx="35">
                  <c:v>1.065434360351563</c:v>
                </c:pt>
                <c:pt idx="36">
                  <c:v>1.065434360351563</c:v>
                </c:pt>
                <c:pt idx="37">
                  <c:v>1.065434360351563</c:v>
                </c:pt>
                <c:pt idx="38">
                  <c:v>1.065434360351563</c:v>
                </c:pt>
                <c:pt idx="39">
                  <c:v>1.065434360351563</c:v>
                </c:pt>
              </c:numCache>
            </c:numRef>
          </c:val>
          <c:smooth val="0"/>
          <c:extLst>
            <c:ext xmlns:c16="http://schemas.microsoft.com/office/drawing/2014/chart" uri="{C3380CC4-5D6E-409C-BE32-E72D297353CC}">
              <c16:uniqueId val="{00000001-1D91-4244-BCE3-17BD08B276D5}"/>
            </c:ext>
          </c:extLst>
        </c:ser>
        <c:dLbls>
          <c:showLegendKey val="0"/>
          <c:showVal val="0"/>
          <c:showCatName val="0"/>
          <c:showSerName val="0"/>
          <c:showPercent val="0"/>
          <c:showBubbleSize val="0"/>
        </c:dLbls>
        <c:smooth val="0"/>
        <c:axId val="1511266384"/>
        <c:axId val="1511265904"/>
      </c:lineChart>
      <c:catAx>
        <c:axId val="1511266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1265904"/>
        <c:crosses val="autoZero"/>
        <c:auto val="1"/>
        <c:lblAlgn val="ctr"/>
        <c:lblOffset val="100"/>
        <c:noMultiLvlLbl val="0"/>
      </c:catAx>
      <c:valAx>
        <c:axId val="151126590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12663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'Q2. Implied Volatality'!$P$7</c:f>
              <c:strCache>
                <c:ptCount val="1"/>
                <c:pt idx="0">
                  <c:v>Implied Volatility
(Yahoo Finance)</c:v>
                </c:pt>
              </c:strCache>
            </c:strRef>
          </c:tx>
          <c:spPr>
            <a:ln w="28575" cap="rnd">
              <a:solidFill>
                <a:schemeClr val="accent1"/>
              </a:solidFill>
              <a:round/>
            </a:ln>
            <a:effectLst/>
          </c:spPr>
          <c:marker>
            <c:symbol val="none"/>
          </c:marker>
          <c:cat>
            <c:strRef>
              <c:f>'Q2. Implied Volatality'!$B$8:$B$21</c:f>
              <c:strCache>
                <c:ptCount val="14"/>
                <c:pt idx="0">
                  <c:v>MRK 11/15/24 C95</c:v>
                </c:pt>
                <c:pt idx="1">
                  <c:v>MRK 11/15/24 C98</c:v>
                </c:pt>
                <c:pt idx="2">
                  <c:v>MRK 11/15/24 C99</c:v>
                </c:pt>
                <c:pt idx="3">
                  <c:v>MRK 11/15/24 C100</c:v>
                </c:pt>
                <c:pt idx="4">
                  <c:v>MRK 11/15/24 C101</c:v>
                </c:pt>
                <c:pt idx="5">
                  <c:v>MRK 11/15/24 C102</c:v>
                </c:pt>
                <c:pt idx="6">
                  <c:v>MRK 11/15/24 C103</c:v>
                </c:pt>
                <c:pt idx="7">
                  <c:v>MRK 11/15/24 C104</c:v>
                </c:pt>
                <c:pt idx="8">
                  <c:v>MRK 11/15/24 C105</c:v>
                </c:pt>
                <c:pt idx="9">
                  <c:v>MRK 11/15/24 C106</c:v>
                </c:pt>
                <c:pt idx="10">
                  <c:v>MRK 11/15/24 C107</c:v>
                </c:pt>
                <c:pt idx="11">
                  <c:v>MRK 11/15/24 C110</c:v>
                </c:pt>
                <c:pt idx="12">
                  <c:v>MRK 11/15/24 C114</c:v>
                </c:pt>
                <c:pt idx="13">
                  <c:v>MRK 11/15/24 C130</c:v>
                </c:pt>
              </c:strCache>
            </c:strRef>
          </c:cat>
          <c:val>
            <c:numRef>
              <c:f>'Q2. Implied Volatality'!$P$8:$P$21</c:f>
              <c:numCache>
                <c:formatCode>0.00%</c:formatCode>
                <c:ptCount val="14"/>
                <c:pt idx="0">
                  <c:v>26.78151512146</c:v>
                </c:pt>
                <c:pt idx="1">
                  <c:v>26.5734252929688</c:v>
                </c:pt>
                <c:pt idx="2">
                  <c:v>26.641626358032202</c:v>
                </c:pt>
                <c:pt idx="3">
                  <c:v>25.2994594573975</c:v>
                </c:pt>
                <c:pt idx="4">
                  <c:v>25.354883193969702</c:v>
                </c:pt>
                <c:pt idx="5">
                  <c:v>24.818048477172901</c:v>
                </c:pt>
                <c:pt idx="6">
                  <c:v>24.5023918151856</c:v>
                </c:pt>
                <c:pt idx="7">
                  <c:v>24.7009792327881</c:v>
                </c:pt>
                <c:pt idx="8">
                  <c:v>24.1961879730225</c:v>
                </c:pt>
                <c:pt idx="9">
                  <c:v>24.819932937622099</c:v>
                </c:pt>
                <c:pt idx="10">
                  <c:v>24.942792892456101</c:v>
                </c:pt>
                <c:pt idx="11">
                  <c:v>28.406557083129901</c:v>
                </c:pt>
                <c:pt idx="12">
                  <c:v>32.745090484619098</c:v>
                </c:pt>
                <c:pt idx="13">
                  <c:v>88.830596923828097</c:v>
                </c:pt>
              </c:numCache>
            </c:numRef>
          </c:val>
          <c:smooth val="0"/>
          <c:extLst>
            <c:ext xmlns:c16="http://schemas.microsoft.com/office/drawing/2014/chart" uri="{C3380CC4-5D6E-409C-BE32-E72D297353CC}">
              <c16:uniqueId val="{00000000-A316-4AEF-B054-E82FF6E76F00}"/>
            </c:ext>
          </c:extLst>
        </c:ser>
        <c:ser>
          <c:idx val="1"/>
          <c:order val="1"/>
          <c:tx>
            <c:strRef>
              <c:f>'Q2. Implied Volatality'!$Q$7</c:f>
              <c:strCache>
                <c:ptCount val="1"/>
                <c:pt idx="0">
                  <c:v>Implied Volatality (σ)
(Calculated)</c:v>
                </c:pt>
              </c:strCache>
            </c:strRef>
          </c:tx>
          <c:spPr>
            <a:ln w="28575" cap="rnd">
              <a:solidFill>
                <a:schemeClr val="accent2"/>
              </a:solidFill>
              <a:round/>
            </a:ln>
            <a:effectLst/>
          </c:spPr>
          <c:marker>
            <c:symbol val="none"/>
          </c:marker>
          <c:cat>
            <c:strRef>
              <c:f>'Q2. Implied Volatality'!$B$8:$B$21</c:f>
              <c:strCache>
                <c:ptCount val="14"/>
                <c:pt idx="0">
                  <c:v>MRK 11/15/24 C95</c:v>
                </c:pt>
                <c:pt idx="1">
                  <c:v>MRK 11/15/24 C98</c:v>
                </c:pt>
                <c:pt idx="2">
                  <c:v>MRK 11/15/24 C99</c:v>
                </c:pt>
                <c:pt idx="3">
                  <c:v>MRK 11/15/24 C100</c:v>
                </c:pt>
                <c:pt idx="4">
                  <c:v>MRK 11/15/24 C101</c:v>
                </c:pt>
                <c:pt idx="5">
                  <c:v>MRK 11/15/24 C102</c:v>
                </c:pt>
                <c:pt idx="6">
                  <c:v>MRK 11/15/24 C103</c:v>
                </c:pt>
                <c:pt idx="7">
                  <c:v>MRK 11/15/24 C104</c:v>
                </c:pt>
                <c:pt idx="8">
                  <c:v>MRK 11/15/24 C105</c:v>
                </c:pt>
                <c:pt idx="9">
                  <c:v>MRK 11/15/24 C106</c:v>
                </c:pt>
                <c:pt idx="10">
                  <c:v>MRK 11/15/24 C107</c:v>
                </c:pt>
                <c:pt idx="11">
                  <c:v>MRK 11/15/24 C110</c:v>
                </c:pt>
                <c:pt idx="12">
                  <c:v>MRK 11/15/24 C114</c:v>
                </c:pt>
                <c:pt idx="13">
                  <c:v>MRK 11/15/24 C130</c:v>
                </c:pt>
              </c:strCache>
            </c:strRef>
          </c:cat>
          <c:val>
            <c:numRef>
              <c:f>'Q2. Implied Volatality'!$Q$8:$Q$21</c:f>
              <c:numCache>
                <c:formatCode>0.00%</c:formatCode>
                <c:ptCount val="14"/>
                <c:pt idx="0">
                  <c:v>12.145581515367484</c:v>
                </c:pt>
                <c:pt idx="1">
                  <c:v>14.592967869384688</c:v>
                </c:pt>
                <c:pt idx="2">
                  <c:v>15.652340405515622</c:v>
                </c:pt>
                <c:pt idx="3">
                  <c:v>16.877445849432775</c:v>
                </c:pt>
                <c:pt idx="4">
                  <c:v>17.926287003404152</c:v>
                </c:pt>
                <c:pt idx="5">
                  <c:v>18.724832301789721</c:v>
                </c:pt>
                <c:pt idx="6">
                  <c:v>19.930917100613449</c:v>
                </c:pt>
                <c:pt idx="7">
                  <c:v>21.388726011434109</c:v>
                </c:pt>
                <c:pt idx="8">
                  <c:v>22.956263432432824</c:v>
                </c:pt>
                <c:pt idx="9">
                  <c:v>24.305009848545186</c:v>
                </c:pt>
                <c:pt idx="10">
                  <c:v>24.902238124666614</c:v>
                </c:pt>
                <c:pt idx="11">
                  <c:v>28.73448653957464</c:v>
                </c:pt>
                <c:pt idx="12">
                  <c:v>30.333220778006218</c:v>
                </c:pt>
                <c:pt idx="13">
                  <c:v>32.725271406703101</c:v>
                </c:pt>
              </c:numCache>
            </c:numRef>
          </c:val>
          <c:smooth val="0"/>
          <c:extLst>
            <c:ext xmlns:c16="http://schemas.microsoft.com/office/drawing/2014/chart" uri="{C3380CC4-5D6E-409C-BE32-E72D297353CC}">
              <c16:uniqueId val="{00000001-A316-4AEF-B054-E82FF6E76F00}"/>
            </c:ext>
          </c:extLst>
        </c:ser>
        <c:dLbls>
          <c:showLegendKey val="0"/>
          <c:showVal val="0"/>
          <c:showCatName val="0"/>
          <c:showSerName val="0"/>
          <c:showPercent val="0"/>
          <c:showBubbleSize val="0"/>
        </c:dLbls>
        <c:smooth val="0"/>
        <c:axId val="1842772864"/>
        <c:axId val="1842773344"/>
      </c:lineChart>
      <c:catAx>
        <c:axId val="1842772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2773344"/>
        <c:crosses val="autoZero"/>
        <c:auto val="1"/>
        <c:lblAlgn val="ctr"/>
        <c:lblOffset val="100"/>
        <c:noMultiLvlLbl val="0"/>
      </c:catAx>
      <c:valAx>
        <c:axId val="184277334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27728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Implied Volatility (Call Option)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'Q2. Implied Volatality - Final'!$P$7</c:f>
              <c:strCache>
                <c:ptCount val="1"/>
                <c:pt idx="0">
                  <c:v>Model Implied Volatility
(Calculated)</c:v>
                </c:pt>
              </c:strCache>
            </c:strRef>
          </c:tx>
          <c:spPr>
            <a:ln w="28575" cap="rnd">
              <a:solidFill>
                <a:schemeClr val="accent1"/>
              </a:solidFill>
              <a:round/>
            </a:ln>
            <a:effectLst/>
          </c:spPr>
          <c:marker>
            <c:symbol val="none"/>
          </c:marker>
          <c:cat>
            <c:numRef>
              <c:f>'Q2. Implied Volatality - Final'!$E$8:$E$21</c:f>
              <c:numCache>
                <c:formatCode>General</c:formatCode>
                <c:ptCount val="14"/>
                <c:pt idx="0">
                  <c:v>95</c:v>
                </c:pt>
                <c:pt idx="1">
                  <c:v>98</c:v>
                </c:pt>
                <c:pt idx="2">
                  <c:v>99</c:v>
                </c:pt>
                <c:pt idx="3">
                  <c:v>100</c:v>
                </c:pt>
                <c:pt idx="4">
                  <c:v>101</c:v>
                </c:pt>
                <c:pt idx="5">
                  <c:v>102</c:v>
                </c:pt>
                <c:pt idx="6">
                  <c:v>103</c:v>
                </c:pt>
                <c:pt idx="7">
                  <c:v>104</c:v>
                </c:pt>
                <c:pt idx="8">
                  <c:v>105</c:v>
                </c:pt>
                <c:pt idx="9">
                  <c:v>106</c:v>
                </c:pt>
                <c:pt idx="10">
                  <c:v>107</c:v>
                </c:pt>
                <c:pt idx="11">
                  <c:v>110</c:v>
                </c:pt>
                <c:pt idx="12">
                  <c:v>114</c:v>
                </c:pt>
                <c:pt idx="13">
                  <c:v>130</c:v>
                </c:pt>
              </c:numCache>
            </c:numRef>
          </c:cat>
          <c:val>
            <c:numRef>
              <c:f>'Q2. Implied Volatality - Final'!$P$8:$P$21</c:f>
              <c:numCache>
                <c:formatCode>0.00%</c:formatCode>
                <c:ptCount val="14"/>
                <c:pt idx="0">
                  <c:v>0.42785022728277755</c:v>
                </c:pt>
                <c:pt idx="1">
                  <c:v>0.29547683364302985</c:v>
                </c:pt>
                <c:pt idx="2">
                  <c:v>0.26512652192481484</c:v>
                </c:pt>
                <c:pt idx="3">
                  <c:v>0.24233836496620864</c:v>
                </c:pt>
                <c:pt idx="4">
                  <c:v>0.22763171283481726</c:v>
                </c:pt>
                <c:pt idx="5">
                  <c:v>0.22467036082365072</c:v>
                </c:pt>
                <c:pt idx="6">
                  <c:v>0.23300398802740607</c:v>
                </c:pt>
                <c:pt idx="7">
                  <c:v>0.25096993818068652</c:v>
                </c:pt>
                <c:pt idx="8">
                  <c:v>0.27960774772422814</c:v>
                </c:pt>
                <c:pt idx="9">
                  <c:v>0.31565187242127318</c:v>
                </c:pt>
                <c:pt idx="10">
                  <c:v>0.35596048805041702</c:v>
                </c:pt>
                <c:pt idx="11">
                  <c:v>0.50146978315026047</c:v>
                </c:pt>
                <c:pt idx="12">
                  <c:v>0.70057289853248228</c:v>
                </c:pt>
                <c:pt idx="13">
                  <c:v>1.353505108326384</c:v>
                </c:pt>
              </c:numCache>
            </c:numRef>
          </c:val>
          <c:smooth val="0"/>
          <c:extLst>
            <c:ext xmlns:c16="http://schemas.microsoft.com/office/drawing/2014/chart" uri="{C3380CC4-5D6E-409C-BE32-E72D297353CC}">
              <c16:uniqueId val="{00000000-ACAA-4A17-98B8-6BF92EDD1D08}"/>
            </c:ext>
          </c:extLst>
        </c:ser>
        <c:ser>
          <c:idx val="1"/>
          <c:order val="1"/>
          <c:tx>
            <c:strRef>
              <c:f>'Q2. Implied Volatality - Final'!$R$7</c:f>
              <c:strCache>
                <c:ptCount val="1"/>
                <c:pt idx="0">
                  <c:v>Market Implied Volatility
</c:v>
                </c:pt>
              </c:strCache>
            </c:strRef>
          </c:tx>
          <c:spPr>
            <a:ln w="28575" cap="rnd">
              <a:solidFill>
                <a:schemeClr val="accent2"/>
              </a:solidFill>
              <a:round/>
            </a:ln>
            <a:effectLst/>
          </c:spPr>
          <c:marker>
            <c:symbol val="none"/>
          </c:marker>
          <c:cat>
            <c:numRef>
              <c:f>'Q2. Implied Volatality - Final'!$E$8:$E$21</c:f>
              <c:numCache>
                <c:formatCode>General</c:formatCode>
                <c:ptCount val="14"/>
                <c:pt idx="0">
                  <c:v>95</c:v>
                </c:pt>
                <c:pt idx="1">
                  <c:v>98</c:v>
                </c:pt>
                <c:pt idx="2">
                  <c:v>99</c:v>
                </c:pt>
                <c:pt idx="3">
                  <c:v>100</c:v>
                </c:pt>
                <c:pt idx="4">
                  <c:v>101</c:v>
                </c:pt>
                <c:pt idx="5">
                  <c:v>102</c:v>
                </c:pt>
                <c:pt idx="6">
                  <c:v>103</c:v>
                </c:pt>
                <c:pt idx="7">
                  <c:v>104</c:v>
                </c:pt>
                <c:pt idx="8">
                  <c:v>105</c:v>
                </c:pt>
                <c:pt idx="9">
                  <c:v>106</c:v>
                </c:pt>
                <c:pt idx="10">
                  <c:v>107</c:v>
                </c:pt>
                <c:pt idx="11">
                  <c:v>110</c:v>
                </c:pt>
                <c:pt idx="12">
                  <c:v>114</c:v>
                </c:pt>
                <c:pt idx="13">
                  <c:v>130</c:v>
                </c:pt>
              </c:numCache>
            </c:numRef>
          </c:cat>
          <c:val>
            <c:numRef>
              <c:f>'Q2. Implied Volatality - Final'!$R$8:$R$21</c:f>
              <c:numCache>
                <c:formatCode>0.00%</c:formatCode>
                <c:ptCount val="14"/>
                <c:pt idx="0">
                  <c:v>0.2858</c:v>
                </c:pt>
                <c:pt idx="1">
                  <c:v>0.2717</c:v>
                </c:pt>
                <c:pt idx="2">
                  <c:v>0.26829999999999998</c:v>
                </c:pt>
                <c:pt idx="3">
                  <c:v>0.2636</c:v>
                </c:pt>
                <c:pt idx="4">
                  <c:v>0.25729999999999997</c:v>
                </c:pt>
                <c:pt idx="5">
                  <c:v>0.25290000000000001</c:v>
                </c:pt>
                <c:pt idx="6">
                  <c:v>0.24959999999999999</c:v>
                </c:pt>
                <c:pt idx="7">
                  <c:v>0.24640000000000001</c:v>
                </c:pt>
                <c:pt idx="8">
                  <c:v>0.246</c:v>
                </c:pt>
                <c:pt idx="9">
                  <c:v>0.24679999999999999</c:v>
                </c:pt>
                <c:pt idx="10">
                  <c:v>0.246</c:v>
                </c:pt>
                <c:pt idx="11">
                  <c:v>0.27050000000000002</c:v>
                </c:pt>
                <c:pt idx="12">
                  <c:v>0.3387</c:v>
                </c:pt>
                <c:pt idx="13">
                  <c:v>0.59250000000000003</c:v>
                </c:pt>
              </c:numCache>
            </c:numRef>
          </c:val>
          <c:smooth val="0"/>
          <c:extLst>
            <c:ext xmlns:c16="http://schemas.microsoft.com/office/drawing/2014/chart" uri="{C3380CC4-5D6E-409C-BE32-E72D297353CC}">
              <c16:uniqueId val="{00000001-ACAA-4A17-98B8-6BF92EDD1D08}"/>
            </c:ext>
          </c:extLst>
        </c:ser>
        <c:dLbls>
          <c:showLegendKey val="0"/>
          <c:showVal val="0"/>
          <c:showCatName val="0"/>
          <c:showSerName val="0"/>
          <c:showPercent val="0"/>
          <c:showBubbleSize val="0"/>
        </c:dLbls>
        <c:smooth val="0"/>
        <c:axId val="1255146928"/>
        <c:axId val="1255142608"/>
      </c:lineChart>
      <c:catAx>
        <c:axId val="1255146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5142608"/>
        <c:crosses val="autoZero"/>
        <c:auto val="1"/>
        <c:lblAlgn val="ctr"/>
        <c:lblOffset val="100"/>
        <c:noMultiLvlLbl val="0"/>
      </c:catAx>
      <c:valAx>
        <c:axId val="125514260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51469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Implied Volatility (Put Option)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'Q2. Implied Volatality - Final'!$P$28</c:f>
              <c:strCache>
                <c:ptCount val="1"/>
                <c:pt idx="0">
                  <c:v>Model Implied Volatility
(Calculated)</c:v>
                </c:pt>
              </c:strCache>
            </c:strRef>
          </c:tx>
          <c:spPr>
            <a:ln w="28575" cap="rnd">
              <a:solidFill>
                <a:schemeClr val="accent1"/>
              </a:solidFill>
              <a:round/>
            </a:ln>
            <a:effectLst/>
          </c:spPr>
          <c:marker>
            <c:symbol val="none"/>
          </c:marker>
          <c:cat>
            <c:numRef>
              <c:f>'Q2. Implied Volatality - Final'!$E$29:$E$42</c:f>
              <c:numCache>
                <c:formatCode>0.00</c:formatCode>
                <c:ptCount val="14"/>
                <c:pt idx="0">
                  <c:v>95</c:v>
                </c:pt>
                <c:pt idx="1">
                  <c:v>98</c:v>
                </c:pt>
                <c:pt idx="2">
                  <c:v>99</c:v>
                </c:pt>
                <c:pt idx="3">
                  <c:v>100</c:v>
                </c:pt>
                <c:pt idx="4">
                  <c:v>101</c:v>
                </c:pt>
                <c:pt idx="5">
                  <c:v>102</c:v>
                </c:pt>
                <c:pt idx="6">
                  <c:v>103</c:v>
                </c:pt>
                <c:pt idx="7">
                  <c:v>104</c:v>
                </c:pt>
                <c:pt idx="8">
                  <c:v>105</c:v>
                </c:pt>
                <c:pt idx="9">
                  <c:v>106</c:v>
                </c:pt>
                <c:pt idx="10">
                  <c:v>107</c:v>
                </c:pt>
                <c:pt idx="11">
                  <c:v>110</c:v>
                </c:pt>
                <c:pt idx="12">
                  <c:v>114</c:v>
                </c:pt>
                <c:pt idx="13">
                  <c:v>130</c:v>
                </c:pt>
              </c:numCache>
            </c:numRef>
          </c:cat>
          <c:val>
            <c:numRef>
              <c:f>'Q2. Implied Volatality - Final'!$P$29:$P$42</c:f>
              <c:numCache>
                <c:formatCode>0.00%</c:formatCode>
                <c:ptCount val="14"/>
                <c:pt idx="0">
                  <c:v>0.4525328936055123</c:v>
                </c:pt>
                <c:pt idx="1">
                  <c:v>0.32249740485422129</c:v>
                </c:pt>
                <c:pt idx="2">
                  <c:v>0.29486370788041494</c:v>
                </c:pt>
                <c:pt idx="3">
                  <c:v>0.2640290368560948</c:v>
                </c:pt>
                <c:pt idx="4">
                  <c:v>0.25522078675818227</c:v>
                </c:pt>
                <c:pt idx="5">
                  <c:v>0.25147382940983859</c:v>
                </c:pt>
                <c:pt idx="6">
                  <c:v>0.26034384409804379</c:v>
                </c:pt>
                <c:pt idx="7">
                  <c:v>0.2833576544923968</c:v>
                </c:pt>
                <c:pt idx="8">
                  <c:v>0.30945103506958044</c:v>
                </c:pt>
                <c:pt idx="9">
                  <c:v>0.34997184155771888</c:v>
                </c:pt>
                <c:pt idx="10">
                  <c:v>0.39224294726939396</c:v>
                </c:pt>
                <c:pt idx="11">
                  <c:v>0.54242648036120822</c:v>
                </c:pt>
                <c:pt idx="12">
                  <c:v>0.74007028585550572</c:v>
                </c:pt>
                <c:pt idx="13">
                  <c:v>1.4424169076803668</c:v>
                </c:pt>
              </c:numCache>
            </c:numRef>
          </c:val>
          <c:smooth val="0"/>
          <c:extLst>
            <c:ext xmlns:c16="http://schemas.microsoft.com/office/drawing/2014/chart" uri="{C3380CC4-5D6E-409C-BE32-E72D297353CC}">
              <c16:uniqueId val="{00000000-D362-451C-B59E-4E778F2197C3}"/>
            </c:ext>
          </c:extLst>
        </c:ser>
        <c:ser>
          <c:idx val="1"/>
          <c:order val="1"/>
          <c:tx>
            <c:strRef>
              <c:f>'Q2. Implied Volatality - Final'!$R$28</c:f>
              <c:strCache>
                <c:ptCount val="1"/>
                <c:pt idx="0">
                  <c:v>Market Implied Volatility
</c:v>
                </c:pt>
              </c:strCache>
            </c:strRef>
          </c:tx>
          <c:spPr>
            <a:ln w="28575" cap="rnd">
              <a:solidFill>
                <a:schemeClr val="accent2"/>
              </a:solidFill>
              <a:round/>
            </a:ln>
            <a:effectLst/>
          </c:spPr>
          <c:marker>
            <c:symbol val="none"/>
          </c:marker>
          <c:cat>
            <c:numRef>
              <c:f>'Q2. Implied Volatality - Final'!$E$29:$E$42</c:f>
              <c:numCache>
                <c:formatCode>0.00</c:formatCode>
                <c:ptCount val="14"/>
                <c:pt idx="0">
                  <c:v>95</c:v>
                </c:pt>
                <c:pt idx="1">
                  <c:v>98</c:v>
                </c:pt>
                <c:pt idx="2">
                  <c:v>99</c:v>
                </c:pt>
                <c:pt idx="3">
                  <c:v>100</c:v>
                </c:pt>
                <c:pt idx="4">
                  <c:v>101</c:v>
                </c:pt>
                <c:pt idx="5">
                  <c:v>102</c:v>
                </c:pt>
                <c:pt idx="6">
                  <c:v>103</c:v>
                </c:pt>
                <c:pt idx="7">
                  <c:v>104</c:v>
                </c:pt>
                <c:pt idx="8">
                  <c:v>105</c:v>
                </c:pt>
                <c:pt idx="9">
                  <c:v>106</c:v>
                </c:pt>
                <c:pt idx="10">
                  <c:v>107</c:v>
                </c:pt>
                <c:pt idx="11">
                  <c:v>110</c:v>
                </c:pt>
                <c:pt idx="12">
                  <c:v>114</c:v>
                </c:pt>
                <c:pt idx="13">
                  <c:v>130</c:v>
                </c:pt>
              </c:numCache>
            </c:numRef>
          </c:cat>
          <c:val>
            <c:numRef>
              <c:f>'Q2. Implied Volatality - Final'!$R$29:$R$42</c:f>
              <c:numCache>
                <c:formatCode>0.00%</c:formatCode>
                <c:ptCount val="14"/>
                <c:pt idx="0">
                  <c:v>0.31934274414062491</c:v>
                </c:pt>
                <c:pt idx="1">
                  <c:v>0.29785858398437493</c:v>
                </c:pt>
                <c:pt idx="2">
                  <c:v>0.2924875439453124</c:v>
                </c:pt>
                <c:pt idx="3">
                  <c:v>0.29102271484374992</c:v>
                </c:pt>
                <c:pt idx="4">
                  <c:v>0.29004616210937489</c:v>
                </c:pt>
                <c:pt idx="5">
                  <c:v>0.29077857666015622</c:v>
                </c:pt>
                <c:pt idx="6">
                  <c:v>0.30396203857421872</c:v>
                </c:pt>
                <c:pt idx="7">
                  <c:v>0.30127651855468751</c:v>
                </c:pt>
                <c:pt idx="8">
                  <c:v>0.32178412597656247</c:v>
                </c:pt>
                <c:pt idx="9">
                  <c:v>0.32691102783203119</c:v>
                </c:pt>
                <c:pt idx="10">
                  <c:v>0.36524072265625002</c:v>
                </c:pt>
                <c:pt idx="11">
                  <c:v>0.44775942871093738</c:v>
                </c:pt>
                <c:pt idx="12">
                  <c:v>0.51221190917968751</c:v>
                </c:pt>
                <c:pt idx="13">
                  <c:v>1.0625046874999999</c:v>
                </c:pt>
              </c:numCache>
            </c:numRef>
          </c:val>
          <c:smooth val="0"/>
          <c:extLst>
            <c:ext xmlns:c16="http://schemas.microsoft.com/office/drawing/2014/chart" uri="{C3380CC4-5D6E-409C-BE32-E72D297353CC}">
              <c16:uniqueId val="{00000001-D362-451C-B59E-4E778F2197C3}"/>
            </c:ext>
          </c:extLst>
        </c:ser>
        <c:dLbls>
          <c:showLegendKey val="0"/>
          <c:showVal val="0"/>
          <c:showCatName val="0"/>
          <c:showSerName val="0"/>
          <c:showPercent val="0"/>
          <c:showBubbleSize val="0"/>
        </c:dLbls>
        <c:smooth val="0"/>
        <c:axId val="1725716208"/>
        <c:axId val="1725727248"/>
      </c:lineChart>
      <c:catAx>
        <c:axId val="1725716208"/>
        <c:scaling>
          <c:orientation val="minMax"/>
        </c:scaling>
        <c:delete val="0"/>
        <c:axPos val="b"/>
        <c:numFmt formatCode="0.0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5727248"/>
        <c:crosses val="autoZero"/>
        <c:auto val="1"/>
        <c:lblAlgn val="ctr"/>
        <c:lblOffset val="100"/>
        <c:noMultiLvlLbl val="0"/>
      </c:catAx>
      <c:valAx>
        <c:axId val="172572724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57162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Implied Volatility (Combined)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tx>
            <c:strRef>
              <c:f>'Q2. Implied Volatality - Final'!$P$7</c:f>
              <c:strCache>
                <c:ptCount val="1"/>
                <c:pt idx="0">
                  <c:v>Model Implied Volatility
(Calculated)</c:v>
                </c:pt>
              </c:strCache>
            </c:strRef>
          </c:tx>
          <c:spPr>
            <a:ln w="28575" cap="rnd">
              <a:solidFill>
                <a:schemeClr val="accent2"/>
              </a:solidFill>
              <a:round/>
            </a:ln>
            <a:effectLst/>
          </c:spPr>
          <c:marker>
            <c:symbol val="none"/>
          </c:marker>
          <c:cat>
            <c:strRef>
              <c:extLst>
                <c:ext xmlns:c15="http://schemas.microsoft.com/office/drawing/2012/chart" uri="{02D57815-91ED-43cb-92C2-25804820EDAC}">
                  <c15:fullRef>
                    <c15:sqref>'Q2. Implied Volatality - Final'!$E$7:$E$21</c15:sqref>
                  </c15:fullRef>
                </c:ext>
              </c:extLst>
              <c:f>'Q2. Implied Volatality - Final'!$E$8:$E$21</c:f>
              <c:strCache>
                <c:ptCount val="14"/>
                <c:pt idx="0">
                  <c:v>95</c:v>
                </c:pt>
                <c:pt idx="1">
                  <c:v>98</c:v>
                </c:pt>
                <c:pt idx="2">
                  <c:v>99</c:v>
                </c:pt>
                <c:pt idx="3">
                  <c:v>100</c:v>
                </c:pt>
                <c:pt idx="4">
                  <c:v>101</c:v>
                </c:pt>
                <c:pt idx="5">
                  <c:v>102</c:v>
                </c:pt>
                <c:pt idx="6">
                  <c:v>103</c:v>
                </c:pt>
                <c:pt idx="7">
                  <c:v>104</c:v>
                </c:pt>
                <c:pt idx="8">
                  <c:v>105</c:v>
                </c:pt>
                <c:pt idx="9">
                  <c:v>106</c:v>
                </c:pt>
                <c:pt idx="10">
                  <c:v>107</c:v>
                </c:pt>
                <c:pt idx="11">
                  <c:v>110</c:v>
                </c:pt>
                <c:pt idx="12">
                  <c:v>114</c:v>
                </c:pt>
                <c:pt idx="13">
                  <c:v>130</c:v>
                </c:pt>
              </c:strCache>
            </c:strRef>
          </c:cat>
          <c:val>
            <c:numRef>
              <c:extLst>
                <c:ext xmlns:c15="http://schemas.microsoft.com/office/drawing/2012/chart" uri="{02D57815-91ED-43cb-92C2-25804820EDAC}">
                  <c15:fullRef>
                    <c15:sqref>'Q2. Implied Volatality - Final'!$P$8:$P$21</c15:sqref>
                  </c15:fullRef>
                </c:ext>
              </c:extLst>
              <c:f>'Q2. Implied Volatality - Final'!$P$9:$P$21</c:f>
              <c:numCache>
                <c:formatCode>0.00%</c:formatCode>
                <c:ptCount val="13"/>
                <c:pt idx="0">
                  <c:v>0.29547683364302985</c:v>
                </c:pt>
                <c:pt idx="1">
                  <c:v>0.26512652192481484</c:v>
                </c:pt>
                <c:pt idx="2">
                  <c:v>0.24233836496620864</c:v>
                </c:pt>
                <c:pt idx="3">
                  <c:v>0.22763171283481726</c:v>
                </c:pt>
                <c:pt idx="4">
                  <c:v>0.22467036082365072</c:v>
                </c:pt>
                <c:pt idx="5">
                  <c:v>0.23300398802740607</c:v>
                </c:pt>
                <c:pt idx="6">
                  <c:v>0.25096993818068652</c:v>
                </c:pt>
                <c:pt idx="7">
                  <c:v>0.27960774772422814</c:v>
                </c:pt>
                <c:pt idx="8">
                  <c:v>0.31565187242127318</c:v>
                </c:pt>
                <c:pt idx="9">
                  <c:v>0.35596048805041702</c:v>
                </c:pt>
                <c:pt idx="10">
                  <c:v>0.50146978315026047</c:v>
                </c:pt>
                <c:pt idx="11">
                  <c:v>0.70057289853248228</c:v>
                </c:pt>
                <c:pt idx="12">
                  <c:v>1.353505108326384</c:v>
                </c:pt>
              </c:numCache>
            </c:numRef>
          </c:val>
          <c:smooth val="0"/>
          <c:extLst>
            <c:ext xmlns:c16="http://schemas.microsoft.com/office/drawing/2014/chart" uri="{C3380CC4-5D6E-409C-BE32-E72D297353CC}">
              <c16:uniqueId val="{00000001-ADB6-4C69-A70A-5759A8932568}"/>
            </c:ext>
          </c:extLst>
        </c:ser>
        <c:ser>
          <c:idx val="2"/>
          <c:order val="1"/>
          <c:tx>
            <c:strRef>
              <c:f>'Q2. Implied Volatality - Final'!$P$28</c:f>
              <c:strCache>
                <c:ptCount val="1"/>
                <c:pt idx="0">
                  <c:v>Model Implied Volatility
(Calculated)</c:v>
                </c:pt>
              </c:strCache>
            </c:strRef>
          </c:tx>
          <c:spPr>
            <a:ln w="28575" cap="rnd">
              <a:solidFill>
                <a:schemeClr val="accent3"/>
              </a:solidFill>
              <a:round/>
            </a:ln>
            <a:effectLst/>
          </c:spPr>
          <c:marker>
            <c:symbol val="none"/>
          </c:marker>
          <c:cat>
            <c:strRef>
              <c:extLst>
                <c:ext xmlns:c15="http://schemas.microsoft.com/office/drawing/2012/chart" uri="{02D57815-91ED-43cb-92C2-25804820EDAC}">
                  <c15:fullRef>
                    <c15:sqref>'Q2. Implied Volatality - Final'!$E$7:$E$21</c15:sqref>
                  </c15:fullRef>
                </c:ext>
              </c:extLst>
              <c:f>'Q2. Implied Volatality - Final'!$E$8:$E$21</c:f>
              <c:strCache>
                <c:ptCount val="14"/>
                <c:pt idx="0">
                  <c:v>95</c:v>
                </c:pt>
                <c:pt idx="1">
                  <c:v>98</c:v>
                </c:pt>
                <c:pt idx="2">
                  <c:v>99</c:v>
                </c:pt>
                <c:pt idx="3">
                  <c:v>100</c:v>
                </c:pt>
                <c:pt idx="4">
                  <c:v>101</c:v>
                </c:pt>
                <c:pt idx="5">
                  <c:v>102</c:v>
                </c:pt>
                <c:pt idx="6">
                  <c:v>103</c:v>
                </c:pt>
                <c:pt idx="7">
                  <c:v>104</c:v>
                </c:pt>
                <c:pt idx="8">
                  <c:v>105</c:v>
                </c:pt>
                <c:pt idx="9">
                  <c:v>106</c:v>
                </c:pt>
                <c:pt idx="10">
                  <c:v>107</c:v>
                </c:pt>
                <c:pt idx="11">
                  <c:v>110</c:v>
                </c:pt>
                <c:pt idx="12">
                  <c:v>114</c:v>
                </c:pt>
                <c:pt idx="13">
                  <c:v>130</c:v>
                </c:pt>
              </c:strCache>
            </c:strRef>
          </c:cat>
          <c:val>
            <c:numRef>
              <c:extLst>
                <c:ext xmlns:c15="http://schemas.microsoft.com/office/drawing/2012/chart" uri="{02D57815-91ED-43cb-92C2-25804820EDAC}">
                  <c15:fullRef>
                    <c15:sqref>'Q2. Implied Volatality - Final'!$P$29:$P$42</c15:sqref>
                  </c15:fullRef>
                </c:ext>
              </c:extLst>
              <c:f>'Q2. Implied Volatality - Final'!$P$30:$P$42</c:f>
              <c:numCache>
                <c:formatCode>0.00%</c:formatCode>
                <c:ptCount val="13"/>
                <c:pt idx="0">
                  <c:v>0.32249740485422129</c:v>
                </c:pt>
                <c:pt idx="1">
                  <c:v>0.29486370788041494</c:v>
                </c:pt>
                <c:pt idx="2">
                  <c:v>0.2640290368560948</c:v>
                </c:pt>
                <c:pt idx="3">
                  <c:v>0.25522078675818227</c:v>
                </c:pt>
                <c:pt idx="4">
                  <c:v>0.25147382940983859</c:v>
                </c:pt>
                <c:pt idx="5">
                  <c:v>0.26034384409804379</c:v>
                </c:pt>
                <c:pt idx="6">
                  <c:v>0.2833576544923968</c:v>
                </c:pt>
                <c:pt idx="7">
                  <c:v>0.30945103506958044</c:v>
                </c:pt>
                <c:pt idx="8">
                  <c:v>0.34997184155771888</c:v>
                </c:pt>
                <c:pt idx="9">
                  <c:v>0.39224294726939396</c:v>
                </c:pt>
                <c:pt idx="10">
                  <c:v>0.54242648036120822</c:v>
                </c:pt>
                <c:pt idx="11">
                  <c:v>0.74007028585550572</c:v>
                </c:pt>
                <c:pt idx="12">
                  <c:v>1.4424169076803668</c:v>
                </c:pt>
              </c:numCache>
            </c:numRef>
          </c:val>
          <c:smooth val="0"/>
          <c:extLst>
            <c:ext xmlns:c16="http://schemas.microsoft.com/office/drawing/2014/chart" uri="{C3380CC4-5D6E-409C-BE32-E72D297353CC}">
              <c16:uniqueId val="{00000002-ADB6-4C69-A70A-5759A8932568}"/>
            </c:ext>
          </c:extLst>
        </c:ser>
        <c:dLbls>
          <c:showLegendKey val="0"/>
          <c:showVal val="0"/>
          <c:showCatName val="0"/>
          <c:showSerName val="0"/>
          <c:showPercent val="0"/>
          <c:showBubbleSize val="0"/>
        </c:dLbls>
        <c:smooth val="0"/>
        <c:axId val="439571312"/>
        <c:axId val="439571792"/>
      </c:lineChart>
      <c:catAx>
        <c:axId val="439571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9571792"/>
        <c:crosses val="autoZero"/>
        <c:auto val="1"/>
        <c:lblAlgn val="ctr"/>
        <c:lblOffset val="100"/>
        <c:noMultiLvlLbl val="0"/>
      </c:catAx>
      <c:valAx>
        <c:axId val="43957179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95713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'Q3. Delta Hedging (2)'!$Q$7</c:f>
              <c:strCache>
                <c:ptCount val="1"/>
                <c:pt idx="0">
                  <c:v>Model Implied Volatality
(Calculated)</c:v>
                </c:pt>
              </c:strCache>
            </c:strRef>
          </c:tx>
          <c:spPr>
            <a:ln w="28575" cap="rnd">
              <a:solidFill>
                <a:schemeClr val="accent1"/>
              </a:solidFill>
              <a:round/>
            </a:ln>
            <a:effectLst/>
          </c:spPr>
          <c:marker>
            <c:symbol val="none"/>
          </c:marker>
          <c:cat>
            <c:numRef>
              <c:f>'Q3. Delta Hedging (2)'!$F$8:$F$16</c:f>
              <c:numCache>
                <c:formatCode>0.00</c:formatCode>
                <c:ptCount val="9"/>
                <c:pt idx="0">
                  <c:v>102</c:v>
                </c:pt>
                <c:pt idx="1">
                  <c:v>102</c:v>
                </c:pt>
                <c:pt idx="2">
                  <c:v>102</c:v>
                </c:pt>
                <c:pt idx="3">
                  <c:v>102</c:v>
                </c:pt>
                <c:pt idx="4">
                  <c:v>102</c:v>
                </c:pt>
                <c:pt idx="5">
                  <c:v>102</c:v>
                </c:pt>
                <c:pt idx="6">
                  <c:v>102</c:v>
                </c:pt>
                <c:pt idx="7">
                  <c:v>102</c:v>
                </c:pt>
                <c:pt idx="8">
                  <c:v>102</c:v>
                </c:pt>
              </c:numCache>
            </c:numRef>
          </c:cat>
          <c:val>
            <c:numRef>
              <c:f>'Q3. Delta Hedging (2)'!$Q$8:$Q$16</c:f>
              <c:numCache>
                <c:formatCode>0.00%</c:formatCode>
                <c:ptCount val="9"/>
                <c:pt idx="0">
                  <c:v>0.23954163564925943</c:v>
                </c:pt>
                <c:pt idx="1">
                  <c:v>0.20790598043194317</c:v>
                </c:pt>
                <c:pt idx="2">
                  <c:v>0.21317998100284838</c:v>
                </c:pt>
                <c:pt idx="3">
                  <c:v>0.19307411285334322</c:v>
                </c:pt>
                <c:pt idx="4">
                  <c:v>0.20807327372262308</c:v>
                </c:pt>
                <c:pt idx="5">
                  <c:v>0.40063096196891906</c:v>
                </c:pt>
                <c:pt idx="6">
                  <c:v>0.48705046594539275</c:v>
                </c:pt>
                <c:pt idx="7">
                  <c:v>0.71109700717551572</c:v>
                </c:pt>
                <c:pt idx="8">
                  <c:v>0.33714516100305342</c:v>
                </c:pt>
              </c:numCache>
            </c:numRef>
          </c:val>
          <c:smooth val="0"/>
          <c:extLst>
            <c:ext xmlns:c16="http://schemas.microsoft.com/office/drawing/2014/chart" uri="{C3380CC4-5D6E-409C-BE32-E72D297353CC}">
              <c16:uniqueId val="{00000000-9FB7-4B3D-82D4-79148A521259}"/>
            </c:ext>
          </c:extLst>
        </c:ser>
        <c:ser>
          <c:idx val="1"/>
          <c:order val="1"/>
          <c:tx>
            <c:strRef>
              <c:f>'Q3. Delta Hedging (2)'!$S$7</c:f>
              <c:strCache>
                <c:ptCount val="1"/>
                <c:pt idx="0">
                  <c:v>Market Implied Volatility
</c:v>
                </c:pt>
              </c:strCache>
            </c:strRef>
          </c:tx>
          <c:spPr>
            <a:ln w="28575" cap="rnd">
              <a:solidFill>
                <a:schemeClr val="accent2"/>
              </a:solidFill>
              <a:round/>
            </a:ln>
            <a:effectLst/>
          </c:spPr>
          <c:marker>
            <c:symbol val="none"/>
          </c:marker>
          <c:cat>
            <c:numRef>
              <c:f>'Q3. Delta Hedging (2)'!$F$8:$F$16</c:f>
              <c:numCache>
                <c:formatCode>0.00</c:formatCode>
                <c:ptCount val="9"/>
                <c:pt idx="0">
                  <c:v>102</c:v>
                </c:pt>
                <c:pt idx="1">
                  <c:v>102</c:v>
                </c:pt>
                <c:pt idx="2">
                  <c:v>102</c:v>
                </c:pt>
                <c:pt idx="3">
                  <c:v>102</c:v>
                </c:pt>
                <c:pt idx="4">
                  <c:v>102</c:v>
                </c:pt>
                <c:pt idx="5">
                  <c:v>102</c:v>
                </c:pt>
                <c:pt idx="6">
                  <c:v>102</c:v>
                </c:pt>
                <c:pt idx="7">
                  <c:v>102</c:v>
                </c:pt>
                <c:pt idx="8">
                  <c:v>102</c:v>
                </c:pt>
              </c:numCache>
            </c:numRef>
          </c:cat>
          <c:val>
            <c:numRef>
              <c:f>'Q3. Delta Hedging (2)'!$S$8:$S$16</c:f>
              <c:numCache>
                <c:formatCode>0.00%</c:formatCode>
                <c:ptCount val="9"/>
                <c:pt idx="0">
                  <c:v>0.25288133621215797</c:v>
                </c:pt>
                <c:pt idx="1">
                  <c:v>0.179776229858398</c:v>
                </c:pt>
                <c:pt idx="2">
                  <c:v>0.23807672500610402</c:v>
                </c:pt>
                <c:pt idx="3">
                  <c:v>0.22628730773925798</c:v>
                </c:pt>
                <c:pt idx="4">
                  <c:v>0.22628730773925798</c:v>
                </c:pt>
                <c:pt idx="5">
                  <c:v>0.22628730773925798</c:v>
                </c:pt>
                <c:pt idx="6">
                  <c:v>0.19944824218750001</c:v>
                </c:pt>
                <c:pt idx="7">
                  <c:v>0.21100370407104499</c:v>
                </c:pt>
                <c:pt idx="8">
                  <c:v>0.23149740219116199</c:v>
                </c:pt>
              </c:numCache>
            </c:numRef>
          </c:val>
          <c:smooth val="0"/>
          <c:extLst>
            <c:ext xmlns:c16="http://schemas.microsoft.com/office/drawing/2014/chart" uri="{C3380CC4-5D6E-409C-BE32-E72D297353CC}">
              <c16:uniqueId val="{00000001-9FB7-4B3D-82D4-79148A521259}"/>
            </c:ext>
          </c:extLst>
        </c:ser>
        <c:dLbls>
          <c:showLegendKey val="0"/>
          <c:showVal val="0"/>
          <c:showCatName val="0"/>
          <c:showSerName val="0"/>
          <c:showPercent val="0"/>
          <c:showBubbleSize val="0"/>
        </c:dLbls>
        <c:smooth val="0"/>
        <c:axId val="1255146928"/>
        <c:axId val="1255142608"/>
      </c:lineChart>
      <c:catAx>
        <c:axId val="1255146928"/>
        <c:scaling>
          <c:orientation val="minMax"/>
        </c:scaling>
        <c:delete val="0"/>
        <c:axPos val="b"/>
        <c:numFmt formatCode="0.0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5142608"/>
        <c:crosses val="autoZero"/>
        <c:auto val="1"/>
        <c:lblAlgn val="ctr"/>
        <c:lblOffset val="100"/>
        <c:noMultiLvlLbl val="0"/>
      </c:catAx>
      <c:valAx>
        <c:axId val="125514260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51469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'Q3. Delta Hedging (2)'!$Q$23</c:f>
              <c:strCache>
                <c:ptCount val="1"/>
                <c:pt idx="0">
                  <c:v>Historical Volatility</c:v>
                </c:pt>
              </c:strCache>
            </c:strRef>
          </c:tx>
          <c:spPr>
            <a:ln w="28575" cap="rnd">
              <a:solidFill>
                <a:schemeClr val="accent1"/>
              </a:solidFill>
              <a:round/>
            </a:ln>
            <a:effectLst/>
          </c:spPr>
          <c:marker>
            <c:symbol val="none"/>
          </c:marker>
          <c:cat>
            <c:numRef>
              <c:f>'Q3. Delta Hedging (2)'!$F$24:$F$32</c:f>
              <c:numCache>
                <c:formatCode>0.00</c:formatCode>
                <c:ptCount val="9"/>
                <c:pt idx="0">
                  <c:v>102</c:v>
                </c:pt>
                <c:pt idx="1">
                  <c:v>102</c:v>
                </c:pt>
                <c:pt idx="2">
                  <c:v>102</c:v>
                </c:pt>
                <c:pt idx="3">
                  <c:v>102</c:v>
                </c:pt>
                <c:pt idx="4">
                  <c:v>102</c:v>
                </c:pt>
                <c:pt idx="5">
                  <c:v>102</c:v>
                </c:pt>
                <c:pt idx="6">
                  <c:v>102</c:v>
                </c:pt>
                <c:pt idx="7">
                  <c:v>102</c:v>
                </c:pt>
                <c:pt idx="8">
                  <c:v>102</c:v>
                </c:pt>
              </c:numCache>
            </c:numRef>
          </c:cat>
          <c:val>
            <c:numRef>
              <c:f>'Q3. Delta Hedging (2)'!$Q$24:$Q$32</c:f>
              <c:numCache>
                <c:formatCode>0.00%</c:formatCode>
                <c:ptCount val="9"/>
                <c:pt idx="0">
                  <c:v>0.16531992970283718</c:v>
                </c:pt>
                <c:pt idx="1">
                  <c:v>0.16158478947263788</c:v>
                </c:pt>
                <c:pt idx="2">
                  <c:v>0.16079264913612296</c:v>
                </c:pt>
                <c:pt idx="3">
                  <c:v>0.16262089685738157</c:v>
                </c:pt>
                <c:pt idx="4">
                  <c:v>0.1642148881279055</c:v>
                </c:pt>
                <c:pt idx="5">
                  <c:v>0.17457004916402893</c:v>
                </c:pt>
                <c:pt idx="6">
                  <c:v>0.18241177059688982</c:v>
                </c:pt>
                <c:pt idx="7">
                  <c:v>0.18229117147918533</c:v>
                </c:pt>
                <c:pt idx="8">
                  <c:v>0.16700370702456038</c:v>
                </c:pt>
              </c:numCache>
            </c:numRef>
          </c:val>
          <c:smooth val="0"/>
          <c:extLst>
            <c:ext xmlns:c16="http://schemas.microsoft.com/office/drawing/2014/chart" uri="{C3380CC4-5D6E-409C-BE32-E72D297353CC}">
              <c16:uniqueId val="{00000000-3428-46D5-9628-84D05B7B83BE}"/>
            </c:ext>
          </c:extLst>
        </c:ser>
        <c:ser>
          <c:idx val="1"/>
          <c:order val="1"/>
          <c:tx>
            <c:strRef>
              <c:f>'Q3. Delta Hedging (2)'!$S$23</c:f>
              <c:strCache>
                <c:ptCount val="1"/>
                <c:pt idx="0">
                  <c:v>Market Implied Volatility
</c:v>
                </c:pt>
              </c:strCache>
            </c:strRef>
          </c:tx>
          <c:spPr>
            <a:ln w="28575" cap="rnd">
              <a:solidFill>
                <a:schemeClr val="accent2"/>
              </a:solidFill>
              <a:round/>
            </a:ln>
            <a:effectLst/>
          </c:spPr>
          <c:marker>
            <c:symbol val="none"/>
          </c:marker>
          <c:cat>
            <c:numRef>
              <c:f>'Q3. Delta Hedging (2)'!$F$24:$F$32</c:f>
              <c:numCache>
                <c:formatCode>0.00</c:formatCode>
                <c:ptCount val="9"/>
                <c:pt idx="0">
                  <c:v>102</c:v>
                </c:pt>
                <c:pt idx="1">
                  <c:v>102</c:v>
                </c:pt>
                <c:pt idx="2">
                  <c:v>102</c:v>
                </c:pt>
                <c:pt idx="3">
                  <c:v>102</c:v>
                </c:pt>
                <c:pt idx="4">
                  <c:v>102</c:v>
                </c:pt>
                <c:pt idx="5">
                  <c:v>102</c:v>
                </c:pt>
                <c:pt idx="6">
                  <c:v>102</c:v>
                </c:pt>
                <c:pt idx="7">
                  <c:v>102</c:v>
                </c:pt>
                <c:pt idx="8">
                  <c:v>102</c:v>
                </c:pt>
              </c:numCache>
            </c:numRef>
          </c:cat>
          <c:val>
            <c:numRef>
              <c:f>'Q3. Delta Hedging (2)'!$S$24:$S$32</c:f>
              <c:numCache>
                <c:formatCode>0.00%</c:formatCode>
                <c:ptCount val="9"/>
                <c:pt idx="0">
                  <c:v>0.31934274414062491</c:v>
                </c:pt>
                <c:pt idx="1">
                  <c:v>0.29785858398437493</c:v>
                </c:pt>
                <c:pt idx="2">
                  <c:v>0.2924875439453124</c:v>
                </c:pt>
                <c:pt idx="3">
                  <c:v>0.29102271484374992</c:v>
                </c:pt>
                <c:pt idx="4">
                  <c:v>0.29004616210937489</c:v>
                </c:pt>
                <c:pt idx="5">
                  <c:v>0.29077857666015622</c:v>
                </c:pt>
                <c:pt idx="6">
                  <c:v>0.30396203857421872</c:v>
                </c:pt>
                <c:pt idx="7">
                  <c:v>0.30127651855468751</c:v>
                </c:pt>
                <c:pt idx="8">
                  <c:v>0.32178412597656247</c:v>
                </c:pt>
              </c:numCache>
            </c:numRef>
          </c:val>
          <c:smooth val="0"/>
          <c:extLst>
            <c:ext xmlns:c16="http://schemas.microsoft.com/office/drawing/2014/chart" uri="{C3380CC4-5D6E-409C-BE32-E72D297353CC}">
              <c16:uniqueId val="{00000001-3428-46D5-9628-84D05B7B83BE}"/>
            </c:ext>
          </c:extLst>
        </c:ser>
        <c:dLbls>
          <c:showLegendKey val="0"/>
          <c:showVal val="0"/>
          <c:showCatName val="0"/>
          <c:showSerName val="0"/>
          <c:showPercent val="0"/>
          <c:showBubbleSize val="0"/>
        </c:dLbls>
        <c:smooth val="0"/>
        <c:axId val="1725716208"/>
        <c:axId val="1725727248"/>
      </c:lineChart>
      <c:catAx>
        <c:axId val="1725716208"/>
        <c:scaling>
          <c:orientation val="minMax"/>
        </c:scaling>
        <c:delete val="0"/>
        <c:axPos val="b"/>
        <c:numFmt formatCode="0.0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5727248"/>
        <c:crosses val="autoZero"/>
        <c:auto val="1"/>
        <c:lblAlgn val="ctr"/>
        <c:lblOffset val="100"/>
        <c:noMultiLvlLbl val="0"/>
      </c:catAx>
      <c:valAx>
        <c:axId val="172572724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57162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xdr:from>
      <xdr:col>20</xdr:col>
      <xdr:colOff>389237</xdr:colOff>
      <xdr:row>25</xdr:row>
      <xdr:rowOff>115229</xdr:rowOff>
    </xdr:from>
    <xdr:to>
      <xdr:col>31</xdr:col>
      <xdr:colOff>149187</xdr:colOff>
      <xdr:row>45</xdr:row>
      <xdr:rowOff>143513</xdr:rowOff>
    </xdr:to>
    <xdr:graphicFrame macro="">
      <xdr:nvGraphicFramePr>
        <xdr:cNvPr id="3" name="Chart 2">
          <a:extLst>
            <a:ext uri="{FF2B5EF4-FFF2-40B4-BE49-F238E27FC236}">
              <a16:creationId xmlns:a16="http://schemas.microsoft.com/office/drawing/2014/main" id="{64BA4075-AD76-401D-8376-4975204D64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498231</xdr:colOff>
      <xdr:row>3</xdr:row>
      <xdr:rowOff>62459</xdr:rowOff>
    </xdr:from>
    <xdr:to>
      <xdr:col>30</xdr:col>
      <xdr:colOff>412229</xdr:colOff>
      <xdr:row>20</xdr:row>
      <xdr:rowOff>134815</xdr:rowOff>
    </xdr:to>
    <xdr:graphicFrame macro="">
      <xdr:nvGraphicFramePr>
        <xdr:cNvPr id="4" name="Chart 3">
          <a:extLst>
            <a:ext uri="{FF2B5EF4-FFF2-40B4-BE49-F238E27FC236}">
              <a16:creationId xmlns:a16="http://schemas.microsoft.com/office/drawing/2014/main" id="{A9801DD8-97BC-ED7E-9296-A45718E304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19</xdr:col>
      <xdr:colOff>556845</xdr:colOff>
      <xdr:row>0</xdr:row>
      <xdr:rowOff>82062</xdr:rowOff>
    </xdr:from>
    <xdr:to>
      <xdr:col>28</xdr:col>
      <xdr:colOff>504092</xdr:colOff>
      <xdr:row>21</xdr:row>
      <xdr:rowOff>64477</xdr:rowOff>
    </xdr:to>
    <xdr:graphicFrame macro="">
      <xdr:nvGraphicFramePr>
        <xdr:cNvPr id="4" name="Chart 3">
          <a:extLst>
            <a:ext uri="{FF2B5EF4-FFF2-40B4-BE49-F238E27FC236}">
              <a16:creationId xmlns:a16="http://schemas.microsoft.com/office/drawing/2014/main" id="{7AA4A15A-CFFB-86DD-F638-9D3B45DFEF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603737</xdr:colOff>
      <xdr:row>26</xdr:row>
      <xdr:rowOff>64477</xdr:rowOff>
    </xdr:from>
    <xdr:to>
      <xdr:col>29</xdr:col>
      <xdr:colOff>234460</xdr:colOff>
      <xdr:row>44</xdr:row>
      <xdr:rowOff>35170</xdr:rowOff>
    </xdr:to>
    <xdr:graphicFrame macro="">
      <xdr:nvGraphicFramePr>
        <xdr:cNvPr id="6" name="Chart 5">
          <a:extLst>
            <a:ext uri="{FF2B5EF4-FFF2-40B4-BE49-F238E27FC236}">
              <a16:creationId xmlns:a16="http://schemas.microsoft.com/office/drawing/2014/main" id="{91988D59-3A84-DF8E-42D2-8C0E0E300F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174535</xdr:colOff>
      <xdr:row>44</xdr:row>
      <xdr:rowOff>36739</xdr:rowOff>
    </xdr:from>
    <xdr:to>
      <xdr:col>17</xdr:col>
      <xdr:colOff>213995</xdr:colOff>
      <xdr:row>60</xdr:row>
      <xdr:rowOff>20773</xdr:rowOff>
    </xdr:to>
    <xdr:graphicFrame macro="">
      <xdr:nvGraphicFramePr>
        <xdr:cNvPr id="9" name="Chart 8">
          <a:extLst>
            <a:ext uri="{FF2B5EF4-FFF2-40B4-BE49-F238E27FC236}">
              <a16:creationId xmlns:a16="http://schemas.microsoft.com/office/drawing/2014/main" id="{25A33DD1-AA58-4728-8545-C258011300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41</xdr:col>
      <xdr:colOff>545122</xdr:colOff>
      <xdr:row>0</xdr:row>
      <xdr:rowOff>70339</xdr:rowOff>
    </xdr:from>
    <xdr:to>
      <xdr:col>50</xdr:col>
      <xdr:colOff>492369</xdr:colOff>
      <xdr:row>16</xdr:row>
      <xdr:rowOff>52754</xdr:rowOff>
    </xdr:to>
    <xdr:graphicFrame macro="">
      <xdr:nvGraphicFramePr>
        <xdr:cNvPr id="2" name="Chart 1">
          <a:extLst>
            <a:ext uri="{FF2B5EF4-FFF2-40B4-BE49-F238E27FC236}">
              <a16:creationId xmlns:a16="http://schemas.microsoft.com/office/drawing/2014/main" id="{94B09243-DFD3-48F3-AEE9-403117555A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41</xdr:col>
      <xdr:colOff>533399</xdr:colOff>
      <xdr:row>19</xdr:row>
      <xdr:rowOff>87922</xdr:rowOff>
    </xdr:from>
    <xdr:to>
      <xdr:col>51</xdr:col>
      <xdr:colOff>164122</xdr:colOff>
      <xdr:row>32</xdr:row>
      <xdr:rowOff>58616</xdr:rowOff>
    </xdr:to>
    <xdr:graphicFrame macro="">
      <xdr:nvGraphicFramePr>
        <xdr:cNvPr id="3" name="Chart 2">
          <a:extLst>
            <a:ext uri="{FF2B5EF4-FFF2-40B4-BE49-F238E27FC236}">
              <a16:creationId xmlns:a16="http://schemas.microsoft.com/office/drawing/2014/main" id="{9C4B92D2-972E-4E97-A45D-BDC0C78608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35</xdr:row>
      <xdr:rowOff>132837</xdr:rowOff>
    </xdr:from>
    <xdr:to>
      <xdr:col>5</xdr:col>
      <xdr:colOff>1116826</xdr:colOff>
      <xdr:row>40</xdr:row>
      <xdr:rowOff>83238</xdr:rowOff>
    </xdr:to>
    <xdr:sp macro="" textlink="">
      <xdr:nvSpPr>
        <xdr:cNvPr id="2" name="TextBox 1">
          <a:extLst>
            <a:ext uri="{FF2B5EF4-FFF2-40B4-BE49-F238E27FC236}">
              <a16:creationId xmlns:a16="http://schemas.microsoft.com/office/drawing/2014/main" id="{A2B7B618-8494-4C06-B23D-B20D3A258079}"/>
            </a:ext>
          </a:extLst>
        </xdr:cNvPr>
        <xdr:cNvSpPr txBox="1"/>
      </xdr:nvSpPr>
      <xdr:spPr>
        <a:xfrm>
          <a:off x="0" y="6800337"/>
          <a:ext cx="7456666" cy="9410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altLang="zh-CN" sz="1900" i="1">
              <a:latin typeface="Arial" panose="020B0604020202020204" pitchFamily="34" charset="0"/>
              <a:cs typeface="Arial" panose="020B0604020202020204" pitchFamily="34" charset="0"/>
            </a:rPr>
            <a:t>Call Option Payoff = MAX(Stock</a:t>
          </a:r>
          <a:r>
            <a:rPr lang="en-GB" altLang="zh-CN" sz="1900" i="1" baseline="0">
              <a:latin typeface="Arial" panose="020B0604020202020204" pitchFamily="34" charset="0"/>
              <a:cs typeface="Arial" panose="020B0604020202020204" pitchFamily="34" charset="0"/>
            </a:rPr>
            <a:t> </a:t>
          </a:r>
          <a:r>
            <a:rPr lang="en-GB" altLang="zh-CN" sz="1900" i="1">
              <a:latin typeface="Arial" panose="020B0604020202020204" pitchFamily="34" charset="0"/>
              <a:cs typeface="Arial" panose="020B0604020202020204" pitchFamily="34" charset="0"/>
            </a:rPr>
            <a:t>Price - Strike</a:t>
          </a:r>
          <a:r>
            <a:rPr lang="en-GB" altLang="zh-CN" sz="1900" i="1" baseline="0">
              <a:latin typeface="Arial" panose="020B0604020202020204" pitchFamily="34" charset="0"/>
              <a:cs typeface="Arial" panose="020B0604020202020204" pitchFamily="34" charset="0"/>
            </a:rPr>
            <a:t> </a:t>
          </a:r>
          <a:r>
            <a:rPr lang="en-GB" altLang="zh-CN" sz="1900" i="1">
              <a:latin typeface="Arial" panose="020B0604020202020204" pitchFamily="34" charset="0"/>
              <a:cs typeface="Arial" panose="020B0604020202020204" pitchFamily="34" charset="0"/>
            </a:rPr>
            <a:t>Price, 0) - Call</a:t>
          </a:r>
          <a:r>
            <a:rPr lang="en-GB" altLang="zh-CN" sz="1900" i="1" baseline="0">
              <a:latin typeface="Arial" panose="020B0604020202020204" pitchFamily="34" charset="0"/>
              <a:cs typeface="Arial" panose="020B0604020202020204" pitchFamily="34" charset="0"/>
            </a:rPr>
            <a:t> Price</a:t>
          </a:r>
        </a:p>
        <a:p>
          <a:pPr algn="l"/>
          <a:r>
            <a:rPr lang="en-GB" altLang="zh-CN" sz="1900" i="1">
              <a:latin typeface="Arial" panose="020B0604020202020204" pitchFamily="34" charset="0"/>
              <a:cs typeface="Arial" panose="020B0604020202020204" pitchFamily="34" charset="0"/>
            </a:rPr>
            <a:t>Put Option Payoff = MAX(Strike</a:t>
          </a:r>
          <a:r>
            <a:rPr lang="en-GB" altLang="zh-CN" sz="1900" i="1" baseline="0">
              <a:latin typeface="Arial" panose="020B0604020202020204" pitchFamily="34" charset="0"/>
              <a:cs typeface="Arial" panose="020B0604020202020204" pitchFamily="34" charset="0"/>
            </a:rPr>
            <a:t> </a:t>
          </a:r>
          <a:r>
            <a:rPr lang="en-GB" altLang="zh-CN" sz="1900" i="1">
              <a:latin typeface="Arial" panose="020B0604020202020204" pitchFamily="34" charset="0"/>
              <a:cs typeface="Arial" panose="020B0604020202020204" pitchFamily="34" charset="0"/>
            </a:rPr>
            <a:t>Price - Stock</a:t>
          </a:r>
          <a:r>
            <a:rPr lang="en-GB" altLang="zh-CN" sz="1900" i="1" baseline="0">
              <a:latin typeface="Arial" panose="020B0604020202020204" pitchFamily="34" charset="0"/>
              <a:cs typeface="Arial" panose="020B0604020202020204" pitchFamily="34" charset="0"/>
            </a:rPr>
            <a:t> </a:t>
          </a:r>
          <a:r>
            <a:rPr lang="en-GB" altLang="zh-CN" sz="1900" i="1">
              <a:latin typeface="Arial" panose="020B0604020202020204" pitchFamily="34" charset="0"/>
              <a:cs typeface="Arial" panose="020B0604020202020204" pitchFamily="34" charset="0"/>
            </a:rPr>
            <a:t>Price, 0) - Put</a:t>
          </a:r>
          <a:r>
            <a:rPr lang="en-GB" altLang="zh-CN" sz="1900" i="1" baseline="0">
              <a:latin typeface="Arial" panose="020B0604020202020204" pitchFamily="34" charset="0"/>
              <a:cs typeface="Arial" panose="020B0604020202020204" pitchFamily="34" charset="0"/>
            </a:rPr>
            <a:t> Price</a:t>
          </a:r>
        </a:p>
        <a:p>
          <a:pPr algn="l"/>
          <a:r>
            <a:rPr lang="en-GB" altLang="zh-CN" sz="1900" i="1">
              <a:latin typeface="Arial" panose="020B0604020202020204" pitchFamily="34" charset="0"/>
              <a:cs typeface="Arial" panose="020B0604020202020204" pitchFamily="34" charset="0"/>
            </a:rPr>
            <a:t>Straddle Payoff = Call</a:t>
          </a:r>
          <a:r>
            <a:rPr lang="en-GB" altLang="zh-CN" sz="1900" i="1" baseline="0">
              <a:latin typeface="Arial" panose="020B0604020202020204" pitchFamily="34" charset="0"/>
              <a:cs typeface="Arial" panose="020B0604020202020204" pitchFamily="34" charset="0"/>
            </a:rPr>
            <a:t> </a:t>
          </a:r>
          <a:r>
            <a:rPr lang="en-GB" altLang="zh-CN" sz="1900" i="1">
              <a:latin typeface="Arial" panose="020B0604020202020204" pitchFamily="34" charset="0"/>
              <a:cs typeface="Arial" panose="020B0604020202020204" pitchFamily="34" charset="0"/>
            </a:rPr>
            <a:t>Payoff + Put</a:t>
          </a:r>
          <a:r>
            <a:rPr lang="en-GB" altLang="zh-CN" sz="1900" i="1" baseline="0">
              <a:latin typeface="Arial" panose="020B0604020202020204" pitchFamily="34" charset="0"/>
              <a:cs typeface="Arial" panose="020B0604020202020204" pitchFamily="34" charset="0"/>
            </a:rPr>
            <a:t> </a:t>
          </a:r>
          <a:r>
            <a:rPr lang="en-GB" altLang="zh-CN" sz="1900" i="1">
              <a:latin typeface="Arial" panose="020B0604020202020204" pitchFamily="34" charset="0"/>
              <a:cs typeface="Arial" panose="020B0604020202020204" pitchFamily="34" charset="0"/>
            </a:rPr>
            <a:t>Payoff</a:t>
          </a:r>
          <a:endParaRPr lang="zh-CN" altLang="en-US" sz="1900" i="1" kern="1200">
            <a:latin typeface="Arial" panose="020B0604020202020204" pitchFamily="34" charset="0"/>
            <a:cs typeface="Arial" panose="020B0604020202020204" pitchFamily="34" charset="0"/>
          </a:endParaRPr>
        </a:p>
        <a:p>
          <a:endParaRPr lang="en-GB" sz="1900" kern="1200">
            <a:latin typeface="Arial" panose="020B0604020202020204" pitchFamily="34" charset="0"/>
            <a:cs typeface="Arial" panose="020B0604020202020204" pitchFamily="34" charset="0"/>
          </a:endParaRPr>
        </a:p>
      </xdr:txBody>
    </xdr:sp>
    <xdr:clientData/>
  </xdr:twoCellAnchor>
  <xdr:twoCellAnchor editAs="oneCell">
    <xdr:from>
      <xdr:col>5</xdr:col>
      <xdr:colOff>28575</xdr:colOff>
      <xdr:row>50</xdr:row>
      <xdr:rowOff>0</xdr:rowOff>
    </xdr:from>
    <xdr:to>
      <xdr:col>14</xdr:col>
      <xdr:colOff>824590</xdr:colOff>
      <xdr:row>79</xdr:row>
      <xdr:rowOff>176579</xdr:rowOff>
    </xdr:to>
    <xdr:pic>
      <xdr:nvPicPr>
        <xdr:cNvPr id="15" name="Picture 5">
          <a:extLst>
            <a:ext uri="{FF2B5EF4-FFF2-40B4-BE49-F238E27FC236}">
              <a16:creationId xmlns:a16="http://schemas.microsoft.com/office/drawing/2014/main" id="{6F7E51D9-89AB-AA87-41EC-C9AD11CFB88B}"/>
            </a:ext>
            <a:ext uri="{147F2762-F138-4A5C-976F-8EAC2B608ADB}">
              <a16:predDERef xmlns:a16="http://schemas.microsoft.com/office/drawing/2014/main" pred="{A2B7B618-8494-4C06-B23D-B20D3A25807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91250" y="10191750"/>
          <a:ext cx="15078075" cy="5800725"/>
        </a:xfrm>
        <a:prstGeom prst="rect">
          <a:avLst/>
        </a:prstGeom>
      </xdr:spPr>
    </xdr:pic>
    <xdr:clientData/>
  </xdr:twoCellAnchor>
  <xdr:twoCellAnchor editAs="oneCell">
    <xdr:from>
      <xdr:col>5</xdr:col>
      <xdr:colOff>9525</xdr:colOff>
      <xdr:row>89</xdr:row>
      <xdr:rowOff>19050</xdr:rowOff>
    </xdr:from>
    <xdr:to>
      <xdr:col>14</xdr:col>
      <xdr:colOff>757915</xdr:colOff>
      <xdr:row>120</xdr:row>
      <xdr:rowOff>117524</xdr:rowOff>
    </xdr:to>
    <xdr:pic>
      <xdr:nvPicPr>
        <xdr:cNvPr id="14" name="Picture 7">
          <a:extLst>
            <a:ext uri="{FF2B5EF4-FFF2-40B4-BE49-F238E27FC236}">
              <a16:creationId xmlns:a16="http://schemas.microsoft.com/office/drawing/2014/main" id="{4BCC1F58-FE35-093E-A28E-3DFB1BA64810}"/>
            </a:ext>
            <a:ext uri="{147F2762-F138-4A5C-976F-8EAC2B608ADB}">
              <a16:predDERef xmlns:a16="http://schemas.microsoft.com/office/drawing/2014/main" pred="{6F7E51D9-89AB-AA87-41EC-C9AD11CFB88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172200" y="18516600"/>
          <a:ext cx="15030450" cy="58674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ucd-my.sharepoint.com/personal/mahek_kathuria_ucdconnect_ie/Documents/Derivatives/Draft%201%20MRK%20-%20Derivatives%20Assignment%202024%20-%20Group%2018.xlsx" TargetMode="External"/><Relationship Id="rId1" Type="http://schemas.openxmlformats.org/officeDocument/2006/relationships/externalLinkPath" Target="Derivatives/Draft%201%20MRK%20-%20Derivatives%20Assignment%202024%20-%20Group%201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roup - 18"/>
      <sheetName val="Q1. Put- Call Parity (2)"/>
      <sheetName val="Tracked Data - MRK"/>
      <sheetName val="Calculations"/>
      <sheetName val="Q1. Put- Call Parity"/>
      <sheetName val="1. PUT-CALL Parity"/>
      <sheetName val="Q2. Implied Volatality"/>
      <sheetName val="Vipul Q1"/>
      <sheetName val="Bibliography"/>
    </sheetNames>
    <sheetDataSet>
      <sheetData sheetId="0" refreshError="1"/>
      <sheetData sheetId="1" refreshError="1"/>
      <sheetData sheetId="2">
        <row r="9">
          <cell r="S9" t="str">
            <v>MRK241115P00060000</v>
          </cell>
          <cell r="T9">
            <v>45589.761643518519</v>
          </cell>
          <cell r="U9">
            <v>60</v>
          </cell>
          <cell r="V9">
            <v>0.02</v>
          </cell>
          <cell r="W9">
            <v>0</v>
          </cell>
          <cell r="X9">
            <v>0.28000000000000003</v>
          </cell>
        </row>
        <row r="10">
          <cell r="S10" t="str">
            <v>MRK241115P00070000</v>
          </cell>
          <cell r="T10">
            <v>45595.75104166667</v>
          </cell>
          <cell r="U10">
            <v>70</v>
          </cell>
          <cell r="V10">
            <v>0.03</v>
          </cell>
          <cell r="W10">
            <v>0</v>
          </cell>
          <cell r="X10">
            <v>0.28999999999999998</v>
          </cell>
        </row>
        <row r="11">
          <cell r="S11" t="str">
            <v>MRK241115P00080000</v>
          </cell>
          <cell r="T11">
            <v>45593.662824074083</v>
          </cell>
          <cell r="U11">
            <v>80</v>
          </cell>
          <cell r="V11">
            <v>0.09</v>
          </cell>
          <cell r="W11">
            <v>0</v>
          </cell>
          <cell r="X11">
            <v>0.13</v>
          </cell>
        </row>
        <row r="12">
          <cell r="S12" t="str">
            <v>MRK241115P00085000</v>
          </cell>
          <cell r="T12">
            <v>45596.71199074074</v>
          </cell>
          <cell r="U12">
            <v>85</v>
          </cell>
          <cell r="V12">
            <v>0.06</v>
          </cell>
          <cell r="W12">
            <v>0</v>
          </cell>
          <cell r="X12">
            <v>0.1</v>
          </cell>
        </row>
        <row r="13">
          <cell r="S13" t="str">
            <v>MRK241115P00090000</v>
          </cell>
          <cell r="T13">
            <v>45601.605486111112</v>
          </cell>
          <cell r="U13">
            <v>90</v>
          </cell>
          <cell r="V13">
            <v>0.39</v>
          </cell>
          <cell r="W13">
            <v>0.01</v>
          </cell>
          <cell r="X13">
            <v>0.09</v>
          </cell>
        </row>
        <row r="14">
          <cell r="S14" t="str">
            <v>MRK241115P00095000</v>
          </cell>
          <cell r="T14">
            <v>45601.645902777767</v>
          </cell>
          <cell r="U14">
            <v>95</v>
          </cell>
          <cell r="V14">
            <v>0.32</v>
          </cell>
          <cell r="W14">
            <v>0</v>
          </cell>
          <cell r="X14">
            <v>0.33</v>
          </cell>
        </row>
        <row r="15">
          <cell r="S15" t="str">
            <v>MRK241115P00098000</v>
          </cell>
          <cell r="T15">
            <v>45601.634016203701</v>
          </cell>
          <cell r="U15">
            <v>98</v>
          </cell>
          <cell r="V15">
            <v>0.81</v>
          </cell>
          <cell r="W15">
            <v>0.08</v>
          </cell>
          <cell r="X15">
            <v>0.26</v>
          </cell>
        </row>
        <row r="16">
          <cell r="S16" t="str">
            <v>MRK241115P00099000</v>
          </cell>
          <cell r="T16">
            <v>45600.780185185176</v>
          </cell>
          <cell r="U16">
            <v>99</v>
          </cell>
          <cell r="V16">
            <v>1.08</v>
          </cell>
          <cell r="W16">
            <v>0.98</v>
          </cell>
          <cell r="X16">
            <v>1.08</v>
          </cell>
        </row>
        <row r="17">
          <cell r="S17" t="str">
            <v>MRK241115P00100000</v>
          </cell>
          <cell r="T17">
            <v>45601.640057870369</v>
          </cell>
          <cell r="U17">
            <v>100</v>
          </cell>
          <cell r="V17">
            <v>1.46</v>
          </cell>
          <cell r="W17">
            <v>1.38</v>
          </cell>
          <cell r="X17">
            <v>1.44</v>
          </cell>
        </row>
        <row r="18">
          <cell r="S18" t="str">
            <v>MRK241115P00101000</v>
          </cell>
          <cell r="T18">
            <v>45601.644224537027</v>
          </cell>
          <cell r="U18">
            <v>101</v>
          </cell>
          <cell r="V18">
            <v>1.82</v>
          </cell>
          <cell r="W18">
            <v>1.74</v>
          </cell>
          <cell r="X18">
            <v>1.88</v>
          </cell>
        </row>
        <row r="19">
          <cell r="S19" t="str">
            <v>MRK241115P00102000</v>
          </cell>
          <cell r="T19">
            <v>45601.642557870371</v>
          </cell>
          <cell r="U19">
            <v>102</v>
          </cell>
          <cell r="V19">
            <v>2.39</v>
          </cell>
          <cell r="W19">
            <v>2.2999999999999998</v>
          </cell>
          <cell r="X19">
            <v>2.41</v>
          </cell>
        </row>
        <row r="20">
          <cell r="S20" t="str">
            <v>MRK241115P00103000</v>
          </cell>
          <cell r="T20">
            <v>45600.866087962961</v>
          </cell>
          <cell r="U20">
            <v>103</v>
          </cell>
          <cell r="V20">
            <v>3.3</v>
          </cell>
          <cell r="W20">
            <v>2.79</v>
          </cell>
          <cell r="X20">
            <v>3.1</v>
          </cell>
        </row>
        <row r="21">
          <cell r="S21" t="str">
            <v>MRK241115P00104000</v>
          </cell>
          <cell r="T21">
            <v>45601.645949074067</v>
          </cell>
          <cell r="U21">
            <v>104</v>
          </cell>
          <cell r="V21">
            <v>3.7</v>
          </cell>
          <cell r="W21">
            <v>3.65</v>
          </cell>
          <cell r="X21">
            <v>3.75</v>
          </cell>
        </row>
        <row r="22">
          <cell r="S22" t="str">
            <v>MRK241115P00105000</v>
          </cell>
          <cell r="T22">
            <v>45601.622476851851</v>
          </cell>
          <cell r="U22">
            <v>105</v>
          </cell>
          <cell r="V22">
            <v>4.57</v>
          </cell>
          <cell r="W22">
            <v>4.45</v>
          </cell>
          <cell r="X22">
            <v>4.5999999999999996</v>
          </cell>
        </row>
        <row r="23">
          <cell r="S23" t="str">
            <v>MRK241115P00106000</v>
          </cell>
          <cell r="T23">
            <v>45600.763067129628</v>
          </cell>
          <cell r="U23">
            <v>106</v>
          </cell>
          <cell r="V23">
            <v>5.0999999999999996</v>
          </cell>
          <cell r="W23">
            <v>5</v>
          </cell>
          <cell r="X23">
            <v>5.4</v>
          </cell>
        </row>
        <row r="24">
          <cell r="S24" t="str">
            <v>MRK241115P00107000</v>
          </cell>
          <cell r="T24">
            <v>45600.724027777767</v>
          </cell>
          <cell r="U24">
            <v>107</v>
          </cell>
          <cell r="V24">
            <v>6</v>
          </cell>
          <cell r="W24">
            <v>5.75</v>
          </cell>
          <cell r="X24">
            <v>6.4</v>
          </cell>
        </row>
        <row r="25">
          <cell r="S25" t="str">
            <v>MRK241115P00108000</v>
          </cell>
          <cell r="T25">
            <v>45597.68681712963</v>
          </cell>
          <cell r="U25">
            <v>108</v>
          </cell>
          <cell r="V25">
            <v>5.85</v>
          </cell>
          <cell r="W25">
            <v>7.05</v>
          </cell>
          <cell r="X25">
            <v>7.35</v>
          </cell>
        </row>
        <row r="26">
          <cell r="S26" t="str">
            <v>MRK241115P00109000</v>
          </cell>
          <cell r="T26">
            <v>45600.612141203703</v>
          </cell>
          <cell r="U26">
            <v>109</v>
          </cell>
          <cell r="V26">
            <v>7.25</v>
          </cell>
          <cell r="W26">
            <v>7.95</v>
          </cell>
          <cell r="X26">
            <v>8.35</v>
          </cell>
        </row>
        <row r="27">
          <cell r="S27" t="str">
            <v>MRK241115P00110000</v>
          </cell>
          <cell r="T27">
            <v>45601.622476851851</v>
          </cell>
          <cell r="U27">
            <v>110</v>
          </cell>
          <cell r="V27">
            <v>9.1999999999999993</v>
          </cell>
          <cell r="W27">
            <v>9.0500000000000007</v>
          </cell>
          <cell r="X27">
            <v>9.3000000000000007</v>
          </cell>
        </row>
        <row r="28">
          <cell r="S28" t="str">
            <v>MRK241115P00111000</v>
          </cell>
          <cell r="T28">
            <v>45597.735868055563</v>
          </cell>
          <cell r="U28">
            <v>111</v>
          </cell>
          <cell r="V28">
            <v>9</v>
          </cell>
          <cell r="W28">
            <v>10.050000000000001</v>
          </cell>
          <cell r="X28">
            <v>10.3</v>
          </cell>
        </row>
        <row r="29">
          <cell r="S29" t="str">
            <v>MRK241115P00112000</v>
          </cell>
          <cell r="T29">
            <v>45587.783668981479</v>
          </cell>
          <cell r="U29">
            <v>112</v>
          </cell>
          <cell r="V29">
            <v>6.54</v>
          </cell>
          <cell r="W29">
            <v>11.05</v>
          </cell>
          <cell r="X29">
            <v>12.75</v>
          </cell>
        </row>
        <row r="30">
          <cell r="S30" t="str">
            <v>MRK241115P00113000</v>
          </cell>
          <cell r="T30">
            <v>45596.566840277781</v>
          </cell>
          <cell r="U30">
            <v>113</v>
          </cell>
          <cell r="V30">
            <v>14.05</v>
          </cell>
          <cell r="W30">
            <v>12</v>
          </cell>
          <cell r="X30">
            <v>12.8</v>
          </cell>
        </row>
        <row r="31">
          <cell r="S31" t="str">
            <v>MRK241115P00114000</v>
          </cell>
          <cell r="T31">
            <v>45587.606249999997</v>
          </cell>
          <cell r="U31">
            <v>114</v>
          </cell>
          <cell r="V31">
            <v>8.27</v>
          </cell>
          <cell r="W31">
            <v>12.95</v>
          </cell>
          <cell r="X31">
            <v>13.25</v>
          </cell>
        </row>
        <row r="32">
          <cell r="S32" t="str">
            <v>MRK241115P00115000</v>
          </cell>
          <cell r="T32">
            <v>45600.850706018522</v>
          </cell>
          <cell r="U32">
            <v>115</v>
          </cell>
          <cell r="V32">
            <v>13.33</v>
          </cell>
          <cell r="W32">
            <v>13.95</v>
          </cell>
          <cell r="X32">
            <v>14.2</v>
          </cell>
        </row>
        <row r="33">
          <cell r="S33" t="str">
            <v>MRK241115P00116000</v>
          </cell>
          <cell r="T33">
            <v>45593.566759259258</v>
          </cell>
          <cell r="U33">
            <v>116</v>
          </cell>
          <cell r="V33">
            <v>11.4</v>
          </cell>
          <cell r="W33">
            <v>14.95</v>
          </cell>
          <cell r="X33">
            <v>15.35</v>
          </cell>
        </row>
        <row r="34">
          <cell r="S34" t="str">
            <v>MRK241115P00117000</v>
          </cell>
          <cell r="T34">
            <v>45596.577118055553</v>
          </cell>
          <cell r="U34">
            <v>117</v>
          </cell>
          <cell r="V34">
            <v>16.32</v>
          </cell>
          <cell r="W34">
            <v>15.95</v>
          </cell>
          <cell r="X34">
            <v>17.8</v>
          </cell>
        </row>
        <row r="35">
          <cell r="S35" t="str">
            <v>MRK241115P00118000</v>
          </cell>
          <cell r="T35">
            <v>45596.693425925929</v>
          </cell>
          <cell r="U35">
            <v>118</v>
          </cell>
          <cell r="V35">
            <v>16</v>
          </cell>
          <cell r="W35">
            <v>16.399999999999999</v>
          </cell>
          <cell r="X35">
            <v>17.649999999999999</v>
          </cell>
        </row>
        <row r="36">
          <cell r="S36" t="str">
            <v>MRK241115P00119000</v>
          </cell>
          <cell r="U36">
            <v>119</v>
          </cell>
          <cell r="V36">
            <v>0</v>
          </cell>
          <cell r="W36">
            <v>17.3999938964844</v>
          </cell>
          <cell r="X36">
            <v>18.3999938964844</v>
          </cell>
        </row>
        <row r="37">
          <cell r="S37" t="str">
            <v>MRK241115P00120000</v>
          </cell>
          <cell r="T37">
            <v>45600.850706018522</v>
          </cell>
          <cell r="U37">
            <v>120</v>
          </cell>
          <cell r="V37">
            <v>18.5</v>
          </cell>
          <cell r="W37">
            <v>19.05</v>
          </cell>
          <cell r="X37">
            <v>19.25</v>
          </cell>
        </row>
        <row r="38">
          <cell r="S38" t="str">
            <v>MRK241115P00121000</v>
          </cell>
          <cell r="T38">
            <v>45600.684999999998</v>
          </cell>
          <cell r="U38">
            <v>121</v>
          </cell>
          <cell r="V38">
            <v>19.399999999999999</v>
          </cell>
          <cell r="W38">
            <v>20</v>
          </cell>
          <cell r="X38">
            <v>20.3</v>
          </cell>
        </row>
        <row r="39">
          <cell r="S39" t="str">
            <v>MRK241115P00122000</v>
          </cell>
          <cell r="U39">
            <v>122</v>
          </cell>
          <cell r="V39">
            <v>0</v>
          </cell>
          <cell r="W39">
            <v>19.050003051757798</v>
          </cell>
          <cell r="X39">
            <v>20.8500061035156</v>
          </cell>
        </row>
        <row r="40">
          <cell r="S40" t="str">
            <v>MRK241115P00125000</v>
          </cell>
          <cell r="T40">
            <v>45600.850381944438</v>
          </cell>
          <cell r="U40">
            <v>125</v>
          </cell>
          <cell r="V40">
            <v>23.45</v>
          </cell>
          <cell r="W40">
            <v>23.95</v>
          </cell>
          <cell r="X40">
            <v>24.25</v>
          </cell>
        </row>
        <row r="41">
          <cell r="S41" t="str">
            <v>MRK241115P00130000</v>
          </cell>
          <cell r="T41">
            <v>45600.850706018522</v>
          </cell>
          <cell r="U41">
            <v>130</v>
          </cell>
          <cell r="V41">
            <v>28.1</v>
          </cell>
          <cell r="W41">
            <v>28.6</v>
          </cell>
          <cell r="X41">
            <v>30.5</v>
          </cell>
        </row>
        <row r="42">
          <cell r="S42" t="str">
            <v>MRK241115P00135000</v>
          </cell>
          <cell r="T42">
            <v>45595.832141203697</v>
          </cell>
          <cell r="U42">
            <v>135</v>
          </cell>
          <cell r="V42">
            <v>30.38</v>
          </cell>
          <cell r="W42">
            <v>32.950000000000003</v>
          </cell>
          <cell r="X42">
            <v>35.549999999999997</v>
          </cell>
        </row>
        <row r="43">
          <cell r="S43" t="str">
            <v>MRK241115P00140000</v>
          </cell>
          <cell r="U43">
            <v>140</v>
          </cell>
          <cell r="V43">
            <v>0</v>
          </cell>
          <cell r="W43">
            <v>36.7999877929688</v>
          </cell>
          <cell r="X43">
            <v>40.5</v>
          </cell>
        </row>
        <row r="44">
          <cell r="S44" t="str">
            <v>MRK241115P00145000</v>
          </cell>
          <cell r="U44">
            <v>145</v>
          </cell>
          <cell r="V44">
            <v>0</v>
          </cell>
          <cell r="W44">
            <v>41.550003051757798</v>
          </cell>
          <cell r="X44">
            <v>45.5</v>
          </cell>
        </row>
        <row r="45">
          <cell r="S45" t="str">
            <v>MRK241115P00150000</v>
          </cell>
          <cell r="U45">
            <v>150</v>
          </cell>
          <cell r="V45">
            <v>0</v>
          </cell>
          <cell r="W45">
            <v>46.449996948242202</v>
          </cell>
          <cell r="X45">
            <v>50.449996948242202</v>
          </cell>
        </row>
        <row r="46">
          <cell r="S46" t="str">
            <v>MRK241115P00155000</v>
          </cell>
          <cell r="U46">
            <v>155</v>
          </cell>
          <cell r="V46">
            <v>0</v>
          </cell>
          <cell r="W46">
            <v>51.699996948242202</v>
          </cell>
          <cell r="X46">
            <v>55.449996948242202</v>
          </cell>
        </row>
        <row r="47">
          <cell r="S47" t="str">
            <v>MRK241115P00160000</v>
          </cell>
          <cell r="U47">
            <v>160</v>
          </cell>
          <cell r="V47">
            <v>0</v>
          </cell>
          <cell r="W47">
            <v>56.75</v>
          </cell>
          <cell r="X47">
            <v>60.399993896484403</v>
          </cell>
        </row>
        <row r="48">
          <cell r="S48" t="str">
            <v>MRK241115P00170000</v>
          </cell>
          <cell r="U48">
            <v>170</v>
          </cell>
          <cell r="V48">
            <v>0</v>
          </cell>
          <cell r="W48">
            <v>66.449996948242202</v>
          </cell>
          <cell r="X48">
            <v>70.449996948242202</v>
          </cell>
        </row>
      </sheetData>
      <sheetData sheetId="3">
        <row r="10">
          <cell r="G10">
            <v>1.6</v>
          </cell>
          <cell r="H10">
            <v>1.66</v>
          </cell>
        </row>
        <row r="11">
          <cell r="G11">
            <v>0.73</v>
          </cell>
          <cell r="H11">
            <v>0.91</v>
          </cell>
        </row>
        <row r="12">
          <cell r="G12">
            <v>0.88</v>
          </cell>
          <cell r="H12">
            <v>1.5</v>
          </cell>
        </row>
        <row r="13">
          <cell r="G13">
            <v>1.58</v>
          </cell>
          <cell r="H13">
            <v>2.14</v>
          </cell>
        </row>
        <row r="14">
          <cell r="G14">
            <v>1.58</v>
          </cell>
          <cell r="H14">
            <v>2.14</v>
          </cell>
        </row>
        <row r="15">
          <cell r="G15">
            <v>1.58</v>
          </cell>
          <cell r="H15">
            <v>2.14</v>
          </cell>
        </row>
        <row r="16">
          <cell r="G16">
            <v>0.34</v>
          </cell>
          <cell r="H16">
            <v>0.56999999999999995</v>
          </cell>
        </row>
        <row r="17">
          <cell r="G17">
            <v>0.08</v>
          </cell>
          <cell r="H17">
            <v>0.11</v>
          </cell>
        </row>
        <row r="18">
          <cell r="G18">
            <v>0.03</v>
          </cell>
          <cell r="H18">
            <v>0.05</v>
          </cell>
        </row>
        <row r="19">
          <cell r="G19">
            <v>0.01</v>
          </cell>
          <cell r="H19">
            <v>0.04</v>
          </cell>
        </row>
        <row r="20">
          <cell r="G20">
            <v>0</v>
          </cell>
          <cell r="H20">
            <v>0.01</v>
          </cell>
        </row>
        <row r="30">
          <cell r="G30">
            <v>1.9699</v>
          </cell>
          <cell r="H30">
            <v>2.06</v>
          </cell>
        </row>
        <row r="31">
          <cell r="G31">
            <v>1.76</v>
          </cell>
          <cell r="H31">
            <v>1.899</v>
          </cell>
        </row>
        <row r="32">
          <cell r="G32">
            <v>1.44</v>
          </cell>
          <cell r="H32">
            <v>1.899</v>
          </cell>
        </row>
        <row r="33">
          <cell r="G33">
            <v>0.57989999999999997</v>
          </cell>
          <cell r="H33">
            <v>0.68</v>
          </cell>
        </row>
        <row r="34">
          <cell r="G34">
            <v>0.57989999999999997</v>
          </cell>
          <cell r="H34">
            <v>0.68</v>
          </cell>
        </row>
        <row r="35">
          <cell r="G35">
            <v>0.57989999999999997</v>
          </cell>
          <cell r="H35">
            <v>0.68</v>
          </cell>
        </row>
        <row r="36">
          <cell r="G36">
            <v>1.6099000000000001</v>
          </cell>
          <cell r="H36">
            <v>1.899</v>
          </cell>
        </row>
        <row r="37">
          <cell r="G37">
            <v>2.88</v>
          </cell>
          <cell r="H37">
            <v>3.25</v>
          </cell>
        </row>
        <row r="38">
          <cell r="G38">
            <v>3.4</v>
          </cell>
          <cell r="H38">
            <v>3.6</v>
          </cell>
        </row>
        <row r="39">
          <cell r="G39">
            <v>2.96</v>
          </cell>
          <cell r="H39">
            <v>4.05</v>
          </cell>
        </row>
        <row r="40">
          <cell r="G40">
            <v>5.55</v>
          </cell>
          <cell r="H40">
            <v>6.899</v>
          </cell>
        </row>
      </sheetData>
      <sheetData sheetId="4" refreshError="1"/>
      <sheetData sheetId="5" refreshError="1"/>
      <sheetData sheetId="6" refreshError="1"/>
      <sheetData sheetId="7" refreshError="1"/>
      <sheetData sheetId="8" refreshError="1"/>
    </sheetDataSet>
  </externalBook>
</externalLink>
</file>

<file path=xl/persons/person.xml><?xml version="1.0" encoding="utf-8"?>
<personList xmlns="http://schemas.microsoft.com/office/spreadsheetml/2018/threadedcomments" xmlns:x="http://schemas.openxmlformats.org/spreadsheetml/2006/main">
  <person displayName="Mahek Rajesh Kathuria" id="{EFC27514-1209-4176-BE87-AF88937B968A}" userId="S::mahek.kathuria@ucdconnect.ie::ad6f55bd-6294-422e-83ae-e0761c553a3c"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X10" dT="2024-11-30T19:02:05.53" personId="{EFC27514-1209-4176-BE87-AF88937B968A}" id="{10B80B8B-DEC5-4E73-A8D1-C07FBC674C1E}">
    <text>Add link</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fred.stlouisfed.org/series/DGS1MO" TargetMode="Externa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50C7A5-5809-40AC-BA82-A1F368272E5C}">
  <dimension ref="B4:S68"/>
  <sheetViews>
    <sheetView showGridLines="0" zoomScale="41" zoomScaleNormal="98" workbookViewId="0">
      <selection activeCell="M8" sqref="M8"/>
    </sheetView>
  </sheetViews>
  <sheetFormatPr defaultColWidth="8.85546875" defaultRowHeight="13.9"/>
  <cols>
    <col min="1" max="1" width="4.140625" style="9" customWidth="1"/>
    <col min="2" max="2" width="24.28515625" style="9" bestFit="1" customWidth="1"/>
    <col min="3" max="3" width="24.28515625" style="9" customWidth="1"/>
    <col min="4" max="4" width="20.140625" style="9" customWidth="1"/>
    <col min="5" max="5" width="11" style="9" customWidth="1"/>
    <col min="6" max="9" width="8.85546875" style="9"/>
    <col min="10" max="10" width="18.28515625" style="9" bestFit="1" customWidth="1"/>
    <col min="11" max="11" width="18.28515625" style="9" customWidth="1"/>
    <col min="12" max="12" width="13.7109375" style="9" customWidth="1"/>
    <col min="13" max="13" width="24.7109375" style="9" customWidth="1"/>
    <col min="14" max="14" width="8.85546875" style="9"/>
    <col min="15" max="15" width="10" style="9" bestFit="1" customWidth="1"/>
    <col min="16" max="16" width="18.7109375" style="9" customWidth="1"/>
    <col min="17" max="17" width="23.7109375" style="9" customWidth="1"/>
    <col min="18" max="18" width="17" style="9" customWidth="1"/>
    <col min="19" max="19" width="22.5703125" style="9" customWidth="1"/>
    <col min="20" max="16384" width="8.85546875" style="9"/>
  </cols>
  <sheetData>
    <row r="4" spans="2:19">
      <c r="B4" s="337" t="s">
        <v>0</v>
      </c>
      <c r="C4" s="337"/>
      <c r="D4" s="337"/>
      <c r="E4" s="337"/>
      <c r="F4" s="337"/>
      <c r="G4" s="337"/>
      <c r="H4" s="337"/>
      <c r="I4" s="337"/>
      <c r="J4" s="337"/>
      <c r="K4" s="337"/>
      <c r="L4" s="337"/>
      <c r="M4" s="337"/>
      <c r="N4" s="337"/>
      <c r="O4" s="337"/>
      <c r="P4" s="337"/>
      <c r="Q4" s="337"/>
      <c r="R4" s="337"/>
      <c r="S4" s="337"/>
    </row>
    <row r="5" spans="2:19">
      <c r="B5" s="337"/>
      <c r="C5" s="337"/>
      <c r="D5" s="337"/>
      <c r="E5" s="337"/>
      <c r="F5" s="337"/>
      <c r="G5" s="337"/>
      <c r="H5" s="337"/>
      <c r="I5" s="337"/>
      <c r="J5" s="337"/>
      <c r="K5" s="337"/>
      <c r="L5" s="337"/>
      <c r="M5" s="337"/>
      <c r="N5" s="337"/>
      <c r="O5" s="337"/>
      <c r="P5" s="337"/>
      <c r="Q5" s="337"/>
      <c r="R5" s="337"/>
      <c r="S5" s="337"/>
    </row>
    <row r="6" spans="2:19">
      <c r="B6" s="337"/>
      <c r="C6" s="337"/>
      <c r="D6" s="337"/>
      <c r="E6" s="337"/>
      <c r="F6" s="337"/>
      <c r="G6" s="337"/>
      <c r="H6" s="337"/>
      <c r="I6" s="337"/>
      <c r="J6" s="337"/>
      <c r="K6" s="337"/>
      <c r="L6" s="337"/>
      <c r="M6" s="337"/>
      <c r="N6" s="337"/>
      <c r="O6" s="337"/>
      <c r="P6" s="337"/>
      <c r="Q6" s="337"/>
      <c r="R6" s="337"/>
      <c r="S6" s="337"/>
    </row>
    <row r="7" spans="2:19" ht="41.45">
      <c r="B7" s="10" t="s">
        <v>1</v>
      </c>
      <c r="C7" s="10" t="s">
        <v>2</v>
      </c>
      <c r="D7" s="11" t="s">
        <v>3</v>
      </c>
      <c r="E7" s="11" t="s">
        <v>4</v>
      </c>
      <c r="F7" s="11" t="s">
        <v>5</v>
      </c>
      <c r="G7" s="10" t="s">
        <v>6</v>
      </c>
      <c r="H7" s="10" t="s">
        <v>7</v>
      </c>
      <c r="I7" s="11" t="s">
        <v>8</v>
      </c>
      <c r="J7" s="11" t="s">
        <v>9</v>
      </c>
      <c r="K7" s="11" t="s">
        <v>10</v>
      </c>
      <c r="L7" s="12" t="s">
        <v>11</v>
      </c>
      <c r="M7" s="10" t="s">
        <v>12</v>
      </c>
      <c r="N7" s="10" t="s">
        <v>13</v>
      </c>
      <c r="O7" s="10" t="s">
        <v>2</v>
      </c>
      <c r="P7" s="11" t="s">
        <v>14</v>
      </c>
      <c r="Q7" s="13" t="s">
        <v>15</v>
      </c>
      <c r="R7" s="11" t="s">
        <v>16</v>
      </c>
      <c r="S7" s="11" t="s">
        <v>14</v>
      </c>
    </row>
    <row r="8" spans="2:19" ht="14.45">
      <c r="B8" s="14" t="s">
        <v>17</v>
      </c>
      <c r="C8" s="23">
        <v>7</v>
      </c>
      <c r="D8" s="16">
        <v>101.65</v>
      </c>
      <c r="E8" s="16">
        <v>95</v>
      </c>
      <c r="F8" s="17">
        <v>6.95</v>
      </c>
      <c r="G8" s="18">
        <v>6.65</v>
      </c>
      <c r="H8" s="18">
        <v>6.95</v>
      </c>
      <c r="I8" s="42">
        <f>'Q1-(Without Zero Volume)'!$J$4</f>
        <v>4.6974999999999996E-2</v>
      </c>
      <c r="J8" s="26">
        <v>3.1099999999999999E-2</v>
      </c>
      <c r="K8" s="20">
        <f>'Q1-(Without Zero Volume)'!K4</f>
        <v>3.5714285714285712E-2</v>
      </c>
      <c r="L8" s="43">
        <f>(G8+H8)/2</f>
        <v>6.8000000000000007</v>
      </c>
      <c r="M8" s="23">
        <f>(LN(D8/E8) + (I8 + (Q8^2) / 2*K8) / (Q8*SQRT(K8)))</f>
        <v>1.2357739695159122</v>
      </c>
      <c r="N8" s="53">
        <f xml:space="preserve"> M8 - Q8*SQRT(K8)</f>
        <v>-1.0595251889073289</v>
      </c>
      <c r="O8" s="23">
        <v>7</v>
      </c>
      <c r="P8" s="24">
        <v>26.78151512146</v>
      </c>
      <c r="Q8" s="24">
        <v>12.145581515367484</v>
      </c>
      <c r="R8" s="25">
        <f t="shared" ref="R8:R21" si="0">E8*_xlfn.NORM.S.DIST(N8,TRUE) - F8*EXP(-J8*L8)*_xlfn.NORM.S.DIST(O8,TRUE)</f>
        <v>8.1194025283543994</v>
      </c>
      <c r="S8" s="55">
        <f>P8-Q8</f>
        <v>14.635933606092516</v>
      </c>
    </row>
    <row r="9" spans="2:19" ht="14.45">
      <c r="B9" s="14" t="s">
        <v>18</v>
      </c>
      <c r="C9" s="23">
        <v>3</v>
      </c>
      <c r="D9" s="16">
        <v>101.65</v>
      </c>
      <c r="E9" s="16">
        <v>98</v>
      </c>
      <c r="F9" s="17">
        <v>4.2</v>
      </c>
      <c r="G9" s="18">
        <v>4.1500000000000004</v>
      </c>
      <c r="H9" s="18">
        <v>4.3</v>
      </c>
      <c r="I9" s="42">
        <f>'Q1-(Without Zero Volume)'!$J$4</f>
        <v>4.6974999999999996E-2</v>
      </c>
      <c r="J9" s="26">
        <v>3.1099999999999999E-2</v>
      </c>
      <c r="K9" s="20">
        <f>K8</f>
        <v>3.5714285714285712E-2</v>
      </c>
      <c r="L9" s="43">
        <f t="shared" ref="L9:L21" si="1">(G9+H9)/2</f>
        <v>4.2249999999999996</v>
      </c>
      <c r="M9" s="23">
        <f t="shared" ref="M9:M21" si="2">(LN(D9/E9) + (I9 + (Q9^2) / 2*K9) / (Q9*SQRT(K9)))</f>
        <v>1.4325073466730145</v>
      </c>
      <c r="N9" s="53">
        <f t="shared" ref="N9:N21" si="3" xml:space="preserve"> M9 - Q9*SQRT(K9)</f>
        <v>-1.3253043585232698</v>
      </c>
      <c r="O9" s="23">
        <v>3</v>
      </c>
      <c r="P9" s="24">
        <v>26.5734252929688</v>
      </c>
      <c r="Q9" s="24">
        <v>14.592967869384688</v>
      </c>
      <c r="R9" s="25">
        <f t="shared" si="0"/>
        <v>5.3905620188058805</v>
      </c>
      <c r="S9" s="55">
        <f t="shared" ref="S9:S21" si="4">P9-Q9</f>
        <v>11.980457423584111</v>
      </c>
    </row>
    <row r="10" spans="2:19" ht="14.45">
      <c r="B10" s="14" t="s">
        <v>19</v>
      </c>
      <c r="C10" s="23">
        <v>7</v>
      </c>
      <c r="D10" s="16">
        <v>101.65</v>
      </c>
      <c r="E10" s="16">
        <v>99</v>
      </c>
      <c r="F10" s="17">
        <v>3.25</v>
      </c>
      <c r="G10" s="18">
        <v>3.4</v>
      </c>
      <c r="H10" s="18">
        <v>3.55</v>
      </c>
      <c r="I10" s="42">
        <f>'Q1-(Without Zero Volume)'!$J$4</f>
        <v>4.6974999999999996E-2</v>
      </c>
      <c r="J10" s="26">
        <v>3.1099999999999999E-2</v>
      </c>
      <c r="K10" s="20">
        <f t="shared" ref="K10:K21" si="5">K9</f>
        <v>3.5714285714285712E-2</v>
      </c>
      <c r="L10" s="43">
        <f t="shared" si="1"/>
        <v>3.4749999999999996</v>
      </c>
      <c r="M10" s="23">
        <f t="shared" si="2"/>
        <v>1.5213034239798131</v>
      </c>
      <c r="N10" s="53">
        <f t="shared" si="3"/>
        <v>-1.4367108723860595</v>
      </c>
      <c r="O10" s="23">
        <v>7</v>
      </c>
      <c r="P10" s="24">
        <v>26.641626358032202</v>
      </c>
      <c r="Q10" s="24">
        <v>15.652340405515622</v>
      </c>
      <c r="R10" s="25">
        <f t="shared" si="0"/>
        <v>4.5475299427346485</v>
      </c>
      <c r="S10" s="55">
        <f t="shared" si="4"/>
        <v>10.98928595251658</v>
      </c>
    </row>
    <row r="11" spans="2:19" ht="14.45">
      <c r="B11" s="14" t="s">
        <v>20</v>
      </c>
      <c r="C11" s="23">
        <v>8</v>
      </c>
      <c r="D11" s="16">
        <v>101.65</v>
      </c>
      <c r="E11" s="16">
        <v>100</v>
      </c>
      <c r="F11" s="17">
        <v>2.35</v>
      </c>
      <c r="G11" s="18">
        <v>2.73</v>
      </c>
      <c r="H11" s="18">
        <v>2.84</v>
      </c>
      <c r="I11" s="42">
        <f>'Q1-(Without Zero Volume)'!$J$4</f>
        <v>4.6974999999999996E-2</v>
      </c>
      <c r="J11" s="26">
        <v>3.1099999999999999E-2</v>
      </c>
      <c r="K11" s="20">
        <f t="shared" si="5"/>
        <v>3.5714285714285712E-2</v>
      </c>
      <c r="L11" s="43">
        <f t="shared" si="1"/>
        <v>2.7850000000000001</v>
      </c>
      <c r="M11" s="23">
        <f t="shared" si="2"/>
        <v>1.6258619264474581</v>
      </c>
      <c r="N11" s="53">
        <f t="shared" si="3"/>
        <v>-1.5636755366638557</v>
      </c>
      <c r="O11" s="23">
        <v>8</v>
      </c>
      <c r="P11" s="24">
        <v>25.2994594573975</v>
      </c>
      <c r="Q11" s="24">
        <v>16.877445849432775</v>
      </c>
      <c r="R11" s="25">
        <f t="shared" si="0"/>
        <v>3.7396653494891847</v>
      </c>
      <c r="S11" s="55">
        <f t="shared" si="4"/>
        <v>8.4220136079647254</v>
      </c>
    </row>
    <row r="12" spans="2:19" ht="14.45">
      <c r="B12" s="14" t="s">
        <v>21</v>
      </c>
      <c r="C12" s="23">
        <v>16</v>
      </c>
      <c r="D12" s="16">
        <v>101.65</v>
      </c>
      <c r="E12" s="16">
        <v>101</v>
      </c>
      <c r="F12" s="17">
        <v>1.87</v>
      </c>
      <c r="G12" s="18">
        <v>2.11</v>
      </c>
      <c r="H12" s="18">
        <v>2.21</v>
      </c>
      <c r="I12" s="42">
        <f>'Q1-(Without Zero Volume)'!$J$4</f>
        <v>4.6974999999999996E-2</v>
      </c>
      <c r="J12" s="26">
        <v>3.1099999999999999E-2</v>
      </c>
      <c r="K12" s="20">
        <f t="shared" si="5"/>
        <v>3.5714285714285712E-2</v>
      </c>
      <c r="L12" s="43">
        <f t="shared" si="1"/>
        <v>2.16</v>
      </c>
      <c r="M12" s="23">
        <f t="shared" si="2"/>
        <v>1.7141560644142684</v>
      </c>
      <c r="N12" s="53">
        <f t="shared" si="3"/>
        <v>-1.6735937457126362</v>
      </c>
      <c r="O12" s="23">
        <v>16</v>
      </c>
      <c r="P12" s="24">
        <v>25.354883193969702</v>
      </c>
      <c r="Q12" s="24">
        <v>17.926287003404152</v>
      </c>
      <c r="R12" s="25">
        <f t="shared" si="0"/>
        <v>3.0091213984104757</v>
      </c>
      <c r="S12" s="55">
        <f t="shared" si="4"/>
        <v>7.4285961905655498</v>
      </c>
    </row>
    <row r="13" spans="2:19" ht="14.45">
      <c r="B13" s="44" t="s">
        <v>22</v>
      </c>
      <c r="C13" s="45">
        <v>41</v>
      </c>
      <c r="D13" s="46">
        <v>101.65</v>
      </c>
      <c r="E13" s="46">
        <v>102</v>
      </c>
      <c r="F13" s="47">
        <v>1.69</v>
      </c>
      <c r="G13" s="48">
        <v>1.6</v>
      </c>
      <c r="H13" s="48">
        <v>1.66</v>
      </c>
      <c r="I13" s="49">
        <f>'Q1-(Without Zero Volume)'!$J$4</f>
        <v>4.6974999999999996E-2</v>
      </c>
      <c r="J13" s="50">
        <v>3.1099999999999999E-2</v>
      </c>
      <c r="K13" s="51">
        <f t="shared" si="5"/>
        <v>3.5714285714285712E-2</v>
      </c>
      <c r="L13" s="43">
        <f t="shared" si="1"/>
        <v>1.63</v>
      </c>
      <c r="M13" s="45">
        <f t="shared" si="2"/>
        <v>1.7791678664327433</v>
      </c>
      <c r="N13" s="54">
        <f t="shared" si="3"/>
        <v>-1.7594928201333102</v>
      </c>
      <c r="O13" s="45">
        <v>41</v>
      </c>
      <c r="P13" s="52">
        <v>24.818048477172901</v>
      </c>
      <c r="Q13" s="52">
        <v>18.724832301789721</v>
      </c>
      <c r="R13" s="46">
        <f t="shared" si="0"/>
        <v>2.3967217112459975</v>
      </c>
      <c r="S13" s="55">
        <f t="shared" si="4"/>
        <v>6.0932161753831799</v>
      </c>
    </row>
    <row r="14" spans="2:19" ht="14.45">
      <c r="B14" s="14" t="s">
        <v>23</v>
      </c>
      <c r="C14" s="23">
        <v>19</v>
      </c>
      <c r="D14" s="16">
        <v>101.65</v>
      </c>
      <c r="E14" s="16">
        <v>103</v>
      </c>
      <c r="F14" s="17">
        <v>1.27</v>
      </c>
      <c r="G14" s="18">
        <v>1.17</v>
      </c>
      <c r="H14" s="18">
        <v>1.22</v>
      </c>
      <c r="I14" s="42">
        <f>'Q1-(Without Zero Volume)'!$J$4</f>
        <v>4.6974999999999996E-2</v>
      </c>
      <c r="J14" s="26">
        <v>3.1099999999999999E-2</v>
      </c>
      <c r="K14" s="20">
        <f t="shared" si="5"/>
        <v>3.5714285714285712E-2</v>
      </c>
      <c r="L14" s="43">
        <f t="shared" si="1"/>
        <v>1.1949999999999998</v>
      </c>
      <c r="M14" s="23">
        <f t="shared" si="2"/>
        <v>1.8825726916116188</v>
      </c>
      <c r="N14" s="53">
        <f t="shared" si="3"/>
        <v>-1.8840165976503598</v>
      </c>
      <c r="O14" s="23">
        <v>19</v>
      </c>
      <c r="P14" s="24">
        <v>24.5023918151856</v>
      </c>
      <c r="Q14" s="24">
        <v>19.930917100613449</v>
      </c>
      <c r="R14" s="25">
        <f t="shared" si="0"/>
        <v>1.8438132347264304</v>
      </c>
      <c r="S14" s="55">
        <f t="shared" si="4"/>
        <v>4.571474714572151</v>
      </c>
    </row>
    <row r="15" spans="2:19" ht="14.45">
      <c r="B15" s="14" t="s">
        <v>24</v>
      </c>
      <c r="C15" s="23">
        <v>2</v>
      </c>
      <c r="D15" s="16">
        <v>101.65</v>
      </c>
      <c r="E15" s="16">
        <v>104</v>
      </c>
      <c r="F15" s="17">
        <v>0.87</v>
      </c>
      <c r="G15" s="18">
        <v>0.82</v>
      </c>
      <c r="H15" s="18">
        <v>0.87</v>
      </c>
      <c r="I15" s="42">
        <f>'Q1-(Without Zero Volume)'!$J$4</f>
        <v>4.6974999999999996E-2</v>
      </c>
      <c r="J15" s="26">
        <v>3.1099999999999999E-2</v>
      </c>
      <c r="K15" s="20">
        <f t="shared" si="5"/>
        <v>3.5714285714285712E-2</v>
      </c>
      <c r="L15" s="43">
        <f t="shared" si="1"/>
        <v>0.84499999999999997</v>
      </c>
      <c r="M15" s="23">
        <f t="shared" si="2"/>
        <v>2.0098107449764653</v>
      </c>
      <c r="N15" s="53">
        <f t="shared" si="3"/>
        <v>-2.032278532648756</v>
      </c>
      <c r="O15" s="23">
        <v>2</v>
      </c>
      <c r="P15" s="24">
        <v>24.7009792327881</v>
      </c>
      <c r="Q15" s="24">
        <v>21.388726011434109</v>
      </c>
      <c r="R15" s="25">
        <f t="shared" si="0"/>
        <v>1.3623688690745135</v>
      </c>
      <c r="S15" s="55">
        <f t="shared" si="4"/>
        <v>3.3122532213539913</v>
      </c>
    </row>
    <row r="16" spans="2:19" ht="14.45">
      <c r="B16" s="14" t="s">
        <v>25</v>
      </c>
      <c r="C16" s="23">
        <v>475</v>
      </c>
      <c r="D16" s="16">
        <v>101.65</v>
      </c>
      <c r="E16" s="16">
        <v>105</v>
      </c>
      <c r="F16" s="17">
        <v>0.52</v>
      </c>
      <c r="G16" s="18">
        <v>0.56999999999999995</v>
      </c>
      <c r="H16" s="18">
        <v>0.61</v>
      </c>
      <c r="I16" s="42">
        <f>'Q1-(Without Zero Volume)'!$J$4</f>
        <v>4.6974999999999996E-2</v>
      </c>
      <c r="J16" s="26">
        <v>3.1099999999999999E-2</v>
      </c>
      <c r="K16" s="20">
        <f t="shared" si="5"/>
        <v>3.5714285714285712E-2</v>
      </c>
      <c r="L16" s="43">
        <f t="shared" si="1"/>
        <v>0.59</v>
      </c>
      <c r="M16" s="23">
        <f t="shared" si="2"/>
        <v>2.1475661017270009</v>
      </c>
      <c r="N16" s="53">
        <f t="shared" si="3"/>
        <v>-2.1907599035232317</v>
      </c>
      <c r="O16" s="23">
        <v>475</v>
      </c>
      <c r="P16" s="26">
        <v>24.1961879730225</v>
      </c>
      <c r="Q16" s="26">
        <v>22.956263432432824</v>
      </c>
      <c r="R16" s="25">
        <f t="shared" si="0"/>
        <v>0.98408598444122486</v>
      </c>
      <c r="S16" s="55">
        <f t="shared" si="4"/>
        <v>1.2399245405896764</v>
      </c>
    </row>
    <row r="17" spans="2:19" ht="14.45">
      <c r="B17" s="14" t="s">
        <v>26</v>
      </c>
      <c r="C17" s="23">
        <v>29</v>
      </c>
      <c r="D17" s="16">
        <v>101.65</v>
      </c>
      <c r="E17" s="16">
        <v>106</v>
      </c>
      <c r="F17" s="17">
        <v>0.35</v>
      </c>
      <c r="G17" s="18">
        <v>0.39</v>
      </c>
      <c r="H17" s="18">
        <v>0.42</v>
      </c>
      <c r="I17" s="42">
        <f>'Q1-(Without Zero Volume)'!$J$4</f>
        <v>4.6974999999999996E-2</v>
      </c>
      <c r="J17" s="26">
        <v>3.1099999999999999E-2</v>
      </c>
      <c r="K17" s="20">
        <f t="shared" si="5"/>
        <v>3.5714285714285712E-2</v>
      </c>
      <c r="L17" s="43">
        <f t="shared" si="1"/>
        <v>0.40500000000000003</v>
      </c>
      <c r="M17" s="23">
        <f t="shared" si="2"/>
        <v>2.2649310468265189</v>
      </c>
      <c r="N17" s="53">
        <f t="shared" si="3"/>
        <v>-2.3282840726182106</v>
      </c>
      <c r="O17" s="23">
        <v>29</v>
      </c>
      <c r="P17" s="26">
        <v>24.819932937622099</v>
      </c>
      <c r="Q17" s="26">
        <v>24.305009848545186</v>
      </c>
      <c r="R17" s="25">
        <f t="shared" si="0"/>
        <v>0.70892307514710384</v>
      </c>
      <c r="S17" s="55">
        <f t="shared" si="4"/>
        <v>0.51492308907691253</v>
      </c>
    </row>
    <row r="18" spans="2:19" ht="14.45">
      <c r="B18" s="14" t="s">
        <v>27</v>
      </c>
      <c r="C18" s="41">
        <v>2</v>
      </c>
      <c r="D18" s="39">
        <v>101.65</v>
      </c>
      <c r="E18" s="39">
        <v>107</v>
      </c>
      <c r="F18" s="17">
        <v>0.37</v>
      </c>
      <c r="G18" s="40">
        <v>0.24</v>
      </c>
      <c r="H18" s="40">
        <v>0.28999999999999998</v>
      </c>
      <c r="I18" s="42">
        <f>'Q1-(Without Zero Volume)'!$J$4</f>
        <v>4.6974999999999996E-2</v>
      </c>
      <c r="J18" s="26">
        <v>3.1099999999999999E-2</v>
      </c>
      <c r="K18" s="20">
        <f t="shared" si="5"/>
        <v>3.5714285714285712E-2</v>
      </c>
      <c r="L18" s="43">
        <f t="shared" si="1"/>
        <v>0.26500000000000001</v>
      </c>
      <c r="M18" s="23">
        <f t="shared" si="2"/>
        <v>2.3117287998743672</v>
      </c>
      <c r="N18" s="53">
        <f t="shared" si="3"/>
        <v>-2.394351854895584</v>
      </c>
      <c r="O18" s="41">
        <v>2</v>
      </c>
      <c r="P18" s="24">
        <v>24.942792892456101</v>
      </c>
      <c r="Q18" s="24">
        <v>24.902238124666614</v>
      </c>
      <c r="R18" s="39">
        <f t="shared" si="0"/>
        <v>0.53214787173189904</v>
      </c>
      <c r="S18" s="55">
        <f t="shared" si="4"/>
        <v>4.05547677894873E-2</v>
      </c>
    </row>
    <row r="19" spans="2:19" ht="14.45">
      <c r="B19" s="14" t="s">
        <v>28</v>
      </c>
      <c r="C19" s="23">
        <v>22</v>
      </c>
      <c r="D19" s="16">
        <v>101.65</v>
      </c>
      <c r="E19" s="16">
        <v>110</v>
      </c>
      <c r="F19" s="17">
        <v>0.08</v>
      </c>
      <c r="G19" s="18">
        <v>0.09</v>
      </c>
      <c r="H19" s="18">
        <v>0.12</v>
      </c>
      <c r="I19" s="42">
        <f>'Q1-(Without Zero Volume)'!$J$4</f>
        <v>4.6974999999999996E-2</v>
      </c>
      <c r="J19" s="26">
        <v>3.1099999999999999E-2</v>
      </c>
      <c r="K19" s="20">
        <f t="shared" si="5"/>
        <v>3.5714285714285712E-2</v>
      </c>
      <c r="L19" s="43">
        <f t="shared" si="1"/>
        <v>0.105</v>
      </c>
      <c r="M19" s="23">
        <f t="shared" si="2"/>
        <v>2.6448594627763851</v>
      </c>
      <c r="N19" s="53">
        <f t="shared" si="3"/>
        <v>-2.7854480682841456</v>
      </c>
      <c r="O19" s="23">
        <v>22</v>
      </c>
      <c r="P19" s="26">
        <v>28.406557083129901</v>
      </c>
      <c r="Q19" s="26">
        <v>28.73448653957464</v>
      </c>
      <c r="R19" s="25">
        <f t="shared" si="0"/>
        <v>0.21425672283523073</v>
      </c>
      <c r="S19" s="55">
        <f t="shared" si="4"/>
        <v>-0.32792945644473903</v>
      </c>
    </row>
    <row r="20" spans="2:19" ht="14.45">
      <c r="B20" s="14" t="s">
        <v>29</v>
      </c>
      <c r="C20" s="23">
        <v>68</v>
      </c>
      <c r="D20" s="16">
        <v>101.65</v>
      </c>
      <c r="E20" s="16">
        <v>114</v>
      </c>
      <c r="F20" s="17">
        <v>0.03</v>
      </c>
      <c r="G20" s="18">
        <v>0.02</v>
      </c>
      <c r="H20" s="18">
        <v>0.12</v>
      </c>
      <c r="I20" s="42">
        <f>'Q1-(Without Zero Volume)'!$J$4</f>
        <v>4.6974999999999996E-2</v>
      </c>
      <c r="J20" s="26">
        <v>3.1099999999999999E-2</v>
      </c>
      <c r="K20" s="20">
        <f t="shared" si="5"/>
        <v>3.5714285714285712E-2</v>
      </c>
      <c r="L20" s="43">
        <f t="shared" si="1"/>
        <v>6.9999999999999993E-2</v>
      </c>
      <c r="M20" s="23">
        <f t="shared" si="2"/>
        <v>2.7597516341114918</v>
      </c>
      <c r="N20" s="53">
        <f t="shared" si="3"/>
        <v>-2.9726882689043386</v>
      </c>
      <c r="O20" s="23">
        <v>68</v>
      </c>
      <c r="P20" s="26">
        <v>32.745090484619098</v>
      </c>
      <c r="Q20" s="26">
        <v>30.333220778006218</v>
      </c>
      <c r="R20" s="25">
        <f t="shared" si="0"/>
        <v>0.13833157734562146</v>
      </c>
      <c r="S20" s="55">
        <f t="shared" si="4"/>
        <v>2.4118697066128796</v>
      </c>
    </row>
    <row r="21" spans="2:19" ht="14.45">
      <c r="B21" s="14" t="s">
        <v>30</v>
      </c>
      <c r="C21" s="23">
        <v>7</v>
      </c>
      <c r="D21" s="16">
        <v>101.65</v>
      </c>
      <c r="E21" s="16">
        <v>130</v>
      </c>
      <c r="F21" s="17">
        <v>0.01</v>
      </c>
      <c r="G21" s="18">
        <v>0</v>
      </c>
      <c r="H21" s="18">
        <v>0.04</v>
      </c>
      <c r="I21" s="42">
        <f>'Q1-(Without Zero Volume)'!$J$4</f>
        <v>4.6974999999999996E-2</v>
      </c>
      <c r="J21" s="26">
        <v>3.1099999999999999E-2</v>
      </c>
      <c r="K21" s="20">
        <f t="shared" si="5"/>
        <v>3.5714285714285712E-2</v>
      </c>
      <c r="L21" s="43">
        <f t="shared" si="1"/>
        <v>0.02</v>
      </c>
      <c r="M21" s="23">
        <f t="shared" si="2"/>
        <v>2.8538441880209824</v>
      </c>
      <c r="N21" s="53">
        <f t="shared" si="3"/>
        <v>-3.3306507926382523</v>
      </c>
      <c r="O21" s="23">
        <v>7</v>
      </c>
      <c r="P21" s="26">
        <v>88.830596923828097</v>
      </c>
      <c r="Q21" s="26">
        <v>32.725271406703101</v>
      </c>
      <c r="R21" s="25">
        <f t="shared" si="0"/>
        <v>4.6324311944474075E-2</v>
      </c>
      <c r="S21" s="55">
        <f t="shared" si="4"/>
        <v>56.105325517124996</v>
      </c>
    </row>
    <row r="25" spans="2:19">
      <c r="B25" s="337" t="s">
        <v>31</v>
      </c>
      <c r="C25" s="337"/>
      <c r="D25" s="337"/>
      <c r="E25" s="337"/>
      <c r="F25" s="337"/>
      <c r="G25" s="337"/>
      <c r="H25" s="337"/>
      <c r="I25" s="337"/>
      <c r="J25" s="337"/>
      <c r="K25" s="337"/>
      <c r="L25" s="337"/>
      <c r="M25" s="337"/>
      <c r="N25" s="337"/>
      <c r="O25" s="337"/>
      <c r="P25" s="337"/>
      <c r="Q25" s="337"/>
      <c r="R25" s="337"/>
      <c r="S25" s="337"/>
    </row>
    <row r="26" spans="2:19">
      <c r="B26" s="337"/>
      <c r="C26" s="337"/>
      <c r="D26" s="337"/>
      <c r="E26" s="337"/>
      <c r="F26" s="337"/>
      <c r="G26" s="337"/>
      <c r="H26" s="337"/>
      <c r="I26" s="337"/>
      <c r="J26" s="337"/>
      <c r="K26" s="337"/>
      <c r="L26" s="337"/>
      <c r="M26" s="337"/>
      <c r="N26" s="337"/>
      <c r="O26" s="337"/>
      <c r="P26" s="337"/>
      <c r="Q26" s="337"/>
      <c r="R26" s="337"/>
      <c r="S26" s="337"/>
    </row>
    <row r="27" spans="2:19">
      <c r="B27" s="337"/>
      <c r="C27" s="337"/>
      <c r="D27" s="337"/>
      <c r="E27" s="337"/>
      <c r="F27" s="337"/>
      <c r="G27" s="337"/>
      <c r="H27" s="337"/>
      <c r="I27" s="337"/>
      <c r="J27" s="337"/>
      <c r="K27" s="337"/>
      <c r="L27" s="337"/>
      <c r="M27" s="337"/>
      <c r="N27" s="337"/>
      <c r="O27" s="337"/>
      <c r="P27" s="337"/>
      <c r="Q27" s="337"/>
      <c r="R27" s="337"/>
      <c r="S27" s="337"/>
    </row>
    <row r="28" spans="2:19" ht="27.6">
      <c r="B28" s="27" t="s">
        <v>1</v>
      </c>
      <c r="C28" s="27"/>
      <c r="D28" s="11" t="s">
        <v>32</v>
      </c>
      <c r="E28" s="11" t="s">
        <v>33</v>
      </c>
      <c r="F28" s="11" t="s">
        <v>4</v>
      </c>
      <c r="G28" s="11" t="s">
        <v>34</v>
      </c>
      <c r="H28" s="10" t="s">
        <v>6</v>
      </c>
      <c r="I28" s="10" t="s">
        <v>7</v>
      </c>
      <c r="J28" s="11" t="s">
        <v>8</v>
      </c>
      <c r="K28" s="11" t="s">
        <v>9</v>
      </c>
      <c r="L28" s="11" t="s">
        <v>10</v>
      </c>
      <c r="M28" s="12" t="s">
        <v>11</v>
      </c>
      <c r="N28" s="10" t="s">
        <v>12</v>
      </c>
      <c r="O28" s="10" t="s">
        <v>13</v>
      </c>
      <c r="P28" s="10"/>
      <c r="Q28" s="13" t="s">
        <v>15</v>
      </c>
      <c r="R28" s="11" t="s">
        <v>16</v>
      </c>
      <c r="S28" s="11" t="s">
        <v>35</v>
      </c>
    </row>
    <row r="29" spans="2:19">
      <c r="B29" s="14" t="str">
        <f>'[1]Tracked Data - MRK'!S9</f>
        <v>MRK241115P00060000</v>
      </c>
      <c r="C29" s="14"/>
      <c r="D29" s="15">
        <f>'[1]Tracked Data - MRK'!T9</f>
        <v>45589.761643518519</v>
      </c>
      <c r="E29" s="16">
        <v>101.65</v>
      </c>
      <c r="F29" s="17">
        <f>'[1]Tracked Data - MRK'!U9</f>
        <v>60</v>
      </c>
      <c r="G29" s="16">
        <f>'[1]Tracked Data - MRK'!V9</f>
        <v>0.02</v>
      </c>
      <c r="H29" s="16">
        <f>'[1]Tracked Data - MRK'!W9</f>
        <v>0</v>
      </c>
      <c r="I29" s="16">
        <f>'[1]Tracked Data - MRK'!X9</f>
        <v>0.28000000000000003</v>
      </c>
      <c r="J29" s="19">
        <f>J10</f>
        <v>3.1099999999999999E-2</v>
      </c>
      <c r="K29" s="20">
        <f>K10</f>
        <v>3.5714285714285712E-2</v>
      </c>
      <c r="L29" s="21">
        <f>10/365</f>
        <v>2.7397260273972601E-2</v>
      </c>
      <c r="M29" s="22">
        <f>(H29+I29)/2</f>
        <v>0.14000000000000001</v>
      </c>
      <c r="N29" s="23">
        <f>(LN(E29/F29) + (J29+ (Q29^2) / 2*L29) / (Q29*SQRT(L29)))</f>
        <v>0.82436988606418315</v>
      </c>
      <c r="O29" s="23">
        <f>N29-Q29*SQRT(L29)</f>
        <v>0.36558867747867207</v>
      </c>
      <c r="P29" s="23"/>
      <c r="Q29" s="26">
        <v>2.7717372175800055</v>
      </c>
      <c r="R29" s="25">
        <f>F29*EXP(-J29*L29)*_xlfn.NORM.S.DIST(-O29,TRUE)-E29*_xlfn.NORM.S.DIST(-N29,TRUE)</f>
        <v>0.59740256120214852</v>
      </c>
      <c r="S29" s="26">
        <v>1.4609401953125001</v>
      </c>
    </row>
    <row r="30" spans="2:19">
      <c r="B30" s="14" t="str">
        <f>'[1]Tracked Data - MRK'!S10</f>
        <v>MRK241115P00070000</v>
      </c>
      <c r="C30" s="14"/>
      <c r="D30" s="15">
        <f>'[1]Tracked Data - MRK'!T10</f>
        <v>45595.75104166667</v>
      </c>
      <c r="E30" s="16">
        <v>101.65</v>
      </c>
      <c r="F30" s="17">
        <f>'[1]Tracked Data - MRK'!U10</f>
        <v>70</v>
      </c>
      <c r="G30" s="16">
        <f>'[1]Tracked Data - MRK'!V10</f>
        <v>0.03</v>
      </c>
      <c r="H30" s="16">
        <f>'[1]Tracked Data - MRK'!W10</f>
        <v>0</v>
      </c>
      <c r="I30" s="16">
        <f>'[1]Tracked Data - MRK'!X10</f>
        <v>0.28999999999999998</v>
      </c>
      <c r="J30" s="19">
        <f t="shared" ref="J30:J40" si="6">J11</f>
        <v>3.1099999999999999E-2</v>
      </c>
      <c r="K30" s="20">
        <f>K29</f>
        <v>3.5714285714285712E-2</v>
      </c>
      <c r="L30" s="21">
        <f>L29</f>
        <v>2.7397260273972601E-2</v>
      </c>
      <c r="M30" s="22">
        <f>(H30+I30)/2</f>
        <v>0.14499999999999999</v>
      </c>
      <c r="N30" s="23">
        <f>(LN(E30/F30) + (J30+ (Q30^2) / 2*L30) / (Q30*SQRT(L30)))</f>
        <v>0.63941239442249864</v>
      </c>
      <c r="O30" s="23">
        <f>N30-Q30*SQRT(L30)</f>
        <v>0.27947698395799675</v>
      </c>
      <c r="P30" s="23"/>
      <c r="Q30" s="26">
        <v>2.1745580560836046</v>
      </c>
      <c r="R30" s="25">
        <f>F30*EXP(-J30*L30)*_xlfn.NORM.S.DIST(-O30,TRUE)-E30*_xlfn.NORM.S.DIST(-N30,TRUE)</f>
        <v>0.7136683622687805</v>
      </c>
      <c r="S30" s="26">
        <v>1.08203583984375</v>
      </c>
    </row>
    <row r="31" spans="2:19">
      <c r="B31" s="14" t="str">
        <f>'[1]Tracked Data - MRK'!S11</f>
        <v>MRK241115P00080000</v>
      </c>
      <c r="C31" s="14"/>
      <c r="D31" s="15">
        <f>'[1]Tracked Data - MRK'!T11</f>
        <v>45593.662824074083</v>
      </c>
      <c r="E31" s="16">
        <v>101.65</v>
      </c>
      <c r="F31" s="17">
        <f>'[1]Tracked Data - MRK'!U11</f>
        <v>80</v>
      </c>
      <c r="G31" s="16">
        <f>'[1]Tracked Data - MRK'!V11</f>
        <v>0.09</v>
      </c>
      <c r="H31" s="16">
        <f>'[1]Tracked Data - MRK'!W11</f>
        <v>0</v>
      </c>
      <c r="I31" s="16">
        <f>'[1]Tracked Data - MRK'!X11</f>
        <v>0.13</v>
      </c>
      <c r="J31" s="19">
        <f t="shared" si="6"/>
        <v>3.1099999999999999E-2</v>
      </c>
      <c r="K31" s="20">
        <f t="shared" ref="K31:L46" si="7">K30</f>
        <v>3.5714285714285712E-2</v>
      </c>
      <c r="L31" s="21">
        <f t="shared" si="7"/>
        <v>2.7397260273972601E-2</v>
      </c>
      <c r="M31" s="22">
        <f t="shared" ref="M31:M68" si="8">(H31+I31)/2</f>
        <v>6.5000000000000002E-2</v>
      </c>
      <c r="N31" s="23">
        <f t="shared" ref="N31:N68" si="9">(LN(E31/F31) + (J31+ (Q31^2) / 2*L31) / (Q31*SQRT(L31)))</f>
        <v>0.48892476588824063</v>
      </c>
      <c r="O31" s="23">
        <f t="shared" ref="O31:O68" si="10">N31-Q31*SQRT(L31)</f>
        <v>0.23663289030089246</v>
      </c>
      <c r="P31" s="23"/>
      <c r="Q31" s="26">
        <v>1.524227165743165</v>
      </c>
      <c r="R31" s="25">
        <f t="shared" ref="R31:R68" si="11">F31*EXP(-J31*L31)*_xlfn.NORM.S.DIST(-O31,TRUE)-E31*_xlfn.NORM.S.DIST(-N31,TRUE)</f>
        <v>0.72968263401573452</v>
      </c>
      <c r="S31" s="26">
        <v>0.64844101562500001</v>
      </c>
    </row>
    <row r="32" spans="2:19">
      <c r="B32" s="14" t="str">
        <f>'[1]Tracked Data - MRK'!S12</f>
        <v>MRK241115P00085000</v>
      </c>
      <c r="C32" s="14"/>
      <c r="D32" s="15">
        <f>'[1]Tracked Data - MRK'!T12</f>
        <v>45596.71199074074</v>
      </c>
      <c r="E32" s="16">
        <v>101.65</v>
      </c>
      <c r="F32" s="17">
        <f>'[1]Tracked Data - MRK'!U12</f>
        <v>85</v>
      </c>
      <c r="G32" s="16">
        <f>'[1]Tracked Data - MRK'!V12</f>
        <v>0.06</v>
      </c>
      <c r="H32" s="16">
        <f>'[1]Tracked Data - MRK'!W12</f>
        <v>0</v>
      </c>
      <c r="I32" s="16">
        <f>'[1]Tracked Data - MRK'!X12</f>
        <v>0.1</v>
      </c>
      <c r="J32" s="19">
        <f t="shared" si="6"/>
        <v>3.1099999999999999E-2</v>
      </c>
      <c r="K32" s="20">
        <f t="shared" si="7"/>
        <v>3.5714285714285712E-2</v>
      </c>
      <c r="L32" s="21">
        <f t="shared" si="7"/>
        <v>2.7397260273972601E-2</v>
      </c>
      <c r="M32" s="22">
        <f t="shared" si="8"/>
        <v>0.05</v>
      </c>
      <c r="N32" s="23">
        <f t="shared" si="9"/>
        <v>0.43532007703375863</v>
      </c>
      <c r="O32" s="23">
        <f t="shared" si="10"/>
        <v>0.23854428829563076</v>
      </c>
      <c r="P32" s="23"/>
      <c r="Q32" s="26">
        <v>1.1888254509065661</v>
      </c>
      <c r="R32" s="25">
        <f t="shared" si="11"/>
        <v>0.74388086238187157</v>
      </c>
      <c r="S32" s="26">
        <v>0.53711400390625008</v>
      </c>
    </row>
    <row r="33" spans="2:19">
      <c r="B33" s="14" t="str">
        <f>'[1]Tracked Data - MRK'!S13</f>
        <v>MRK241115P00090000</v>
      </c>
      <c r="C33" s="14"/>
      <c r="D33" s="15">
        <f>'[1]Tracked Data - MRK'!T13</f>
        <v>45601.605486111112</v>
      </c>
      <c r="E33" s="16">
        <v>101.65</v>
      </c>
      <c r="F33" s="17">
        <f>'[1]Tracked Data - MRK'!U13</f>
        <v>90</v>
      </c>
      <c r="G33" s="16">
        <f>'[1]Tracked Data - MRK'!V13</f>
        <v>0.39</v>
      </c>
      <c r="H33" s="16">
        <f>'[1]Tracked Data - MRK'!W13</f>
        <v>0.01</v>
      </c>
      <c r="I33" s="16">
        <f>'[1]Tracked Data - MRK'!X13</f>
        <v>0.09</v>
      </c>
      <c r="J33" s="19">
        <f t="shared" si="6"/>
        <v>3.1099999999999999E-2</v>
      </c>
      <c r="K33" s="20">
        <f t="shared" si="7"/>
        <v>3.5714285714285712E-2</v>
      </c>
      <c r="L33" s="21">
        <f t="shared" si="7"/>
        <v>2.7397260273972601E-2</v>
      </c>
      <c r="M33" s="22">
        <f t="shared" si="8"/>
        <v>4.9999999999999996E-2</v>
      </c>
      <c r="N33" s="23">
        <f t="shared" si="9"/>
        <v>0.41378718002908221</v>
      </c>
      <c r="O33" s="23">
        <f t="shared" si="10"/>
        <v>0.27371208282075798</v>
      </c>
      <c r="P33" s="23"/>
      <c r="Q33" s="26">
        <v>0.846266919661955</v>
      </c>
      <c r="R33" s="25">
        <f t="shared" si="11"/>
        <v>0.75200729755866291</v>
      </c>
      <c r="S33" s="26">
        <v>0.43945873046875</v>
      </c>
    </row>
    <row r="34" spans="2:19">
      <c r="B34" s="14" t="str">
        <f>'[1]Tracked Data - MRK'!S14</f>
        <v>MRK241115P00095000</v>
      </c>
      <c r="C34" s="14"/>
      <c r="D34" s="15">
        <f>'[1]Tracked Data - MRK'!T14</f>
        <v>45601.645902777767</v>
      </c>
      <c r="E34" s="16">
        <v>101.65</v>
      </c>
      <c r="F34" s="17">
        <f>'[1]Tracked Data - MRK'!U14</f>
        <v>95</v>
      </c>
      <c r="G34" s="16">
        <f>'[1]Tracked Data - MRK'!V14</f>
        <v>0.32</v>
      </c>
      <c r="H34" s="16">
        <f>'[1]Tracked Data - MRK'!W14</f>
        <v>0</v>
      </c>
      <c r="I34" s="16">
        <f>'[1]Tracked Data - MRK'!X14</f>
        <v>0.33</v>
      </c>
      <c r="J34" s="19">
        <f t="shared" si="6"/>
        <v>3.1099999999999999E-2</v>
      </c>
      <c r="K34" s="20">
        <f t="shared" si="7"/>
        <v>3.5714285714285712E-2</v>
      </c>
      <c r="L34" s="21">
        <f t="shared" si="7"/>
        <v>2.7397260273972601E-2</v>
      </c>
      <c r="M34" s="22">
        <f t="shared" si="8"/>
        <v>0.16500000000000001</v>
      </c>
      <c r="N34" s="23">
        <f t="shared" si="9"/>
        <v>0.47702657533537673</v>
      </c>
      <c r="O34" s="23">
        <f t="shared" si="10"/>
        <v>0.3922847403748404</v>
      </c>
      <c r="P34" s="23"/>
      <c r="Q34" s="26">
        <v>0.51196974385746219</v>
      </c>
      <c r="R34" s="25">
        <f t="shared" si="11"/>
        <v>0.78749392121247297</v>
      </c>
      <c r="S34" s="26">
        <v>0.31934274414062491</v>
      </c>
    </row>
    <row r="35" spans="2:19">
      <c r="B35" s="14" t="str">
        <f>'[1]Tracked Data - MRK'!S15</f>
        <v>MRK241115P00098000</v>
      </c>
      <c r="C35" s="14"/>
      <c r="D35" s="15">
        <f>'[1]Tracked Data - MRK'!T15</f>
        <v>45601.634016203701</v>
      </c>
      <c r="E35" s="16">
        <v>101.65</v>
      </c>
      <c r="F35" s="17">
        <f>'[1]Tracked Data - MRK'!U15</f>
        <v>98</v>
      </c>
      <c r="G35" s="16">
        <f>'[1]Tracked Data - MRK'!V15</f>
        <v>0.81</v>
      </c>
      <c r="H35" s="16">
        <f>'[1]Tracked Data - MRK'!W15</f>
        <v>0.08</v>
      </c>
      <c r="I35" s="16">
        <f>'[1]Tracked Data - MRK'!X15</f>
        <v>0.26</v>
      </c>
      <c r="J35" s="19">
        <f t="shared" si="6"/>
        <v>3.1099999999999999E-2</v>
      </c>
      <c r="K35" s="20">
        <f t="shared" si="7"/>
        <v>3.5714285714285712E-2</v>
      </c>
      <c r="L35" s="21">
        <f t="shared" si="7"/>
        <v>2.7397260273972601E-2</v>
      </c>
      <c r="M35" s="22">
        <f t="shared" si="8"/>
        <v>0.17</v>
      </c>
      <c r="N35" s="23">
        <f t="shared" si="9"/>
        <v>0.69833410729070133</v>
      </c>
      <c r="O35" s="23">
        <f t="shared" si="10"/>
        <v>0.64953975690758592</v>
      </c>
      <c r="P35" s="23"/>
      <c r="Q35" s="26">
        <v>0.29479218946543301</v>
      </c>
      <c r="R35" s="25">
        <f t="shared" si="11"/>
        <v>0.61344206269422941</v>
      </c>
      <c r="S35" s="26">
        <v>0.29785858398437493</v>
      </c>
    </row>
    <row r="36" spans="2:19">
      <c r="B36" s="14" t="str">
        <f>'[1]Tracked Data - MRK'!S16</f>
        <v>MRK241115P00099000</v>
      </c>
      <c r="C36" s="14"/>
      <c r="D36" s="15">
        <f>'[1]Tracked Data - MRK'!T16</f>
        <v>45600.780185185176</v>
      </c>
      <c r="E36" s="16">
        <v>101.65</v>
      </c>
      <c r="F36" s="17">
        <f>'[1]Tracked Data - MRK'!U16</f>
        <v>99</v>
      </c>
      <c r="G36" s="16">
        <f>'[1]Tracked Data - MRK'!V16</f>
        <v>1.08</v>
      </c>
      <c r="H36" s="16">
        <f>'[1]Tracked Data - MRK'!W16</f>
        <v>0.98</v>
      </c>
      <c r="I36" s="16">
        <f>'[1]Tracked Data - MRK'!X16</f>
        <v>1.08</v>
      </c>
      <c r="J36" s="19">
        <f t="shared" si="6"/>
        <v>3.1099999999999999E-2</v>
      </c>
      <c r="K36" s="20">
        <f t="shared" si="7"/>
        <v>3.5714285714285712E-2</v>
      </c>
      <c r="L36" s="21">
        <f t="shared" si="7"/>
        <v>2.7397260273972601E-2</v>
      </c>
      <c r="M36" s="22">
        <f t="shared" si="8"/>
        <v>1.03</v>
      </c>
      <c r="N36" s="23">
        <f t="shared" si="9"/>
        <v>0.59013834436619206</v>
      </c>
      <c r="O36" s="23">
        <f t="shared" si="10"/>
        <v>0.53196809188596961</v>
      </c>
      <c r="P36" s="23"/>
      <c r="Q36" s="26">
        <v>0.35143691750706579</v>
      </c>
      <c r="R36" s="25">
        <f t="shared" si="11"/>
        <v>1.2021059292026592</v>
      </c>
      <c r="S36" s="26">
        <v>0.2924875439453124</v>
      </c>
    </row>
    <row r="37" spans="2:19">
      <c r="B37" s="14" t="str">
        <f>'[1]Tracked Data - MRK'!S17</f>
        <v>MRK241115P00100000</v>
      </c>
      <c r="C37" s="14"/>
      <c r="D37" s="15">
        <f>'[1]Tracked Data - MRK'!T17</f>
        <v>45601.640057870369</v>
      </c>
      <c r="E37" s="16">
        <v>101.65</v>
      </c>
      <c r="F37" s="17">
        <f>'[1]Tracked Data - MRK'!U17</f>
        <v>100</v>
      </c>
      <c r="G37" s="16">
        <f>'[1]Tracked Data - MRK'!V17</f>
        <v>1.46</v>
      </c>
      <c r="H37" s="16">
        <f>'[1]Tracked Data - MRK'!W17</f>
        <v>1.38</v>
      </c>
      <c r="I37" s="16">
        <f>'[1]Tracked Data - MRK'!X17</f>
        <v>1.44</v>
      </c>
      <c r="J37" s="19">
        <f t="shared" si="6"/>
        <v>3.1099999999999999E-2</v>
      </c>
      <c r="K37" s="20">
        <f t="shared" si="7"/>
        <v>3.5714285714285712E-2</v>
      </c>
      <c r="L37" s="21">
        <f t="shared" si="7"/>
        <v>2.7397260273972601E-2</v>
      </c>
      <c r="M37" s="22">
        <f t="shared" si="8"/>
        <v>1.41</v>
      </c>
      <c r="N37" s="23">
        <f t="shared" si="9"/>
        <v>0.60629816243427803</v>
      </c>
      <c r="O37" s="23">
        <f t="shared" si="10"/>
        <v>0.55098738726987184</v>
      </c>
      <c r="P37" s="23"/>
      <c r="Q37" s="26">
        <v>0.33416131957333672</v>
      </c>
      <c r="R37" s="25">
        <f t="shared" si="11"/>
        <v>1.3924467615270117</v>
      </c>
      <c r="S37" s="26">
        <v>0.29102271484374992</v>
      </c>
    </row>
    <row r="38" spans="2:19">
      <c r="B38" s="14" t="str">
        <f>'[1]Tracked Data - MRK'!S18</f>
        <v>MRK241115P00101000</v>
      </c>
      <c r="C38" s="14"/>
      <c r="D38" s="15">
        <f>'[1]Tracked Data - MRK'!T18</f>
        <v>45601.644224537027</v>
      </c>
      <c r="E38" s="16">
        <v>101.65</v>
      </c>
      <c r="F38" s="17">
        <f>'[1]Tracked Data - MRK'!U18</f>
        <v>101</v>
      </c>
      <c r="G38" s="16">
        <f>'[1]Tracked Data - MRK'!V18</f>
        <v>1.82</v>
      </c>
      <c r="H38" s="16">
        <f>'[1]Tracked Data - MRK'!W18</f>
        <v>1.74</v>
      </c>
      <c r="I38" s="16">
        <f>'[1]Tracked Data - MRK'!X18</f>
        <v>1.88</v>
      </c>
      <c r="J38" s="19">
        <f t="shared" si="6"/>
        <v>3.1099999999999999E-2</v>
      </c>
      <c r="K38" s="20">
        <f t="shared" si="7"/>
        <v>3.5714285714285712E-2</v>
      </c>
      <c r="L38" s="21">
        <f t="shared" si="7"/>
        <v>2.7397260273972601E-2</v>
      </c>
      <c r="M38" s="22">
        <f t="shared" si="8"/>
        <v>1.81</v>
      </c>
      <c r="N38" s="23">
        <f t="shared" si="9"/>
        <v>0.62202070788203179</v>
      </c>
      <c r="O38" s="23">
        <f t="shared" si="10"/>
        <v>0.56923858259436244</v>
      </c>
      <c r="P38" s="23"/>
      <c r="Q38" s="26">
        <v>0.31888442321746896</v>
      </c>
      <c r="R38" s="25">
        <f t="shared" si="11"/>
        <v>1.5829244584224362</v>
      </c>
      <c r="S38" s="26">
        <v>0.29004616210937489</v>
      </c>
    </row>
    <row r="39" spans="2:19">
      <c r="B39" s="14" t="str">
        <f>'[1]Tracked Data - MRK'!S19</f>
        <v>MRK241115P00102000</v>
      </c>
      <c r="C39" s="14"/>
      <c r="D39" s="15">
        <f>'[1]Tracked Data - MRK'!T19</f>
        <v>45601.642557870371</v>
      </c>
      <c r="E39" s="16">
        <v>101.65</v>
      </c>
      <c r="F39" s="17">
        <f>'[1]Tracked Data - MRK'!U19</f>
        <v>102</v>
      </c>
      <c r="G39" s="16">
        <f>'[1]Tracked Data - MRK'!V19</f>
        <v>2.39</v>
      </c>
      <c r="H39" s="16">
        <f>'[1]Tracked Data - MRK'!W19</f>
        <v>2.2999999999999998</v>
      </c>
      <c r="I39" s="16">
        <f>'[1]Tracked Data - MRK'!X19</f>
        <v>2.41</v>
      </c>
      <c r="J39" s="19">
        <f t="shared" si="6"/>
        <v>3.1099999999999999E-2</v>
      </c>
      <c r="K39" s="20">
        <f t="shared" si="7"/>
        <v>3.5714285714285712E-2</v>
      </c>
      <c r="L39" s="21">
        <f t="shared" si="7"/>
        <v>2.7397260273972601E-2</v>
      </c>
      <c r="M39" s="22">
        <f t="shared" si="8"/>
        <v>2.355</v>
      </c>
      <c r="N39" s="23">
        <f t="shared" si="9"/>
        <v>0.60170566219847588</v>
      </c>
      <c r="O39" s="23">
        <f t="shared" si="10"/>
        <v>0.54792283803742936</v>
      </c>
      <c r="P39" s="23"/>
      <c r="Q39" s="26">
        <v>0.32493016846383888</v>
      </c>
      <c r="R39" s="25">
        <f t="shared" si="11"/>
        <v>1.9255491718381954</v>
      </c>
      <c r="S39" s="26">
        <v>0.29077857666015622</v>
      </c>
    </row>
    <row r="40" spans="2:19">
      <c r="B40" s="14" t="str">
        <f>'[1]Tracked Data - MRK'!S20</f>
        <v>MRK241115P00103000</v>
      </c>
      <c r="C40" s="14"/>
      <c r="D40" s="15">
        <f>'[1]Tracked Data - MRK'!T20</f>
        <v>45600.866087962961</v>
      </c>
      <c r="E40" s="16">
        <v>101.65</v>
      </c>
      <c r="F40" s="17">
        <f>'[1]Tracked Data - MRK'!U20</f>
        <v>103</v>
      </c>
      <c r="G40" s="16">
        <f>'[1]Tracked Data - MRK'!V20</f>
        <v>3.3</v>
      </c>
      <c r="H40" s="16">
        <f>'[1]Tracked Data - MRK'!W20</f>
        <v>2.79</v>
      </c>
      <c r="I40" s="16">
        <f>'[1]Tracked Data - MRK'!X20</f>
        <v>3.1</v>
      </c>
      <c r="J40" s="19">
        <f t="shared" si="6"/>
        <v>3.1099999999999999E-2</v>
      </c>
      <c r="K40" s="20">
        <f t="shared" si="7"/>
        <v>3.5714285714285712E-2</v>
      </c>
      <c r="L40" s="21">
        <f t="shared" si="7"/>
        <v>2.7397260273972601E-2</v>
      </c>
      <c r="M40" s="22">
        <f t="shared" si="8"/>
        <v>2.9450000000000003</v>
      </c>
      <c r="N40" s="23">
        <f t="shared" si="9"/>
        <v>0.57426495244667142</v>
      </c>
      <c r="O40" s="23">
        <f t="shared" si="10"/>
        <v>0.51869692817973401</v>
      </c>
      <c r="P40" s="23"/>
      <c r="Q40" s="26">
        <v>0.33571549593961175</v>
      </c>
      <c r="R40" s="25">
        <f>F40*EXP(-J40*L40)*_xlfn.NORM.S.DIST(-O40,TRUE)-E40*_xlfn.NORM.S.DIST(-N40,TRUE)</f>
        <v>2.3218702304073169</v>
      </c>
      <c r="S40" s="26">
        <v>0.30396203857421872</v>
      </c>
    </row>
    <row r="41" spans="2:19">
      <c r="B41" s="14" t="str">
        <f>'[1]Tracked Data - MRK'!S21</f>
        <v>MRK241115P00104000</v>
      </c>
      <c r="C41" s="14"/>
      <c r="D41" s="15">
        <f>'[1]Tracked Data - MRK'!T21</f>
        <v>45601.645949074067</v>
      </c>
      <c r="E41" s="16">
        <v>101.65</v>
      </c>
      <c r="F41" s="17">
        <f>'[1]Tracked Data - MRK'!U21</f>
        <v>104</v>
      </c>
      <c r="G41" s="16">
        <f>'[1]Tracked Data - MRK'!V21</f>
        <v>3.7</v>
      </c>
      <c r="H41" s="16">
        <f>'[1]Tracked Data - MRK'!W21</f>
        <v>3.65</v>
      </c>
      <c r="I41" s="16">
        <f>'[1]Tracked Data - MRK'!X21</f>
        <v>3.75</v>
      </c>
      <c r="J41" s="19" t="e">
        <f>#REF!</f>
        <v>#REF!</v>
      </c>
      <c r="K41" s="20">
        <f t="shared" si="7"/>
        <v>3.5714285714285712E-2</v>
      </c>
      <c r="L41" s="21">
        <f t="shared" si="7"/>
        <v>2.7397260273972601E-2</v>
      </c>
      <c r="M41" s="22">
        <f t="shared" si="8"/>
        <v>3.7</v>
      </c>
      <c r="N41" s="23" t="e">
        <f t="shared" si="9"/>
        <v>#REF!</v>
      </c>
      <c r="O41" s="23" t="e">
        <f t="shared" si="10"/>
        <v>#REF!</v>
      </c>
      <c r="P41" s="23"/>
      <c r="Q41" s="26">
        <v>0.36887944487133528</v>
      </c>
      <c r="R41" s="25" t="e">
        <f t="shared" si="11"/>
        <v>#REF!</v>
      </c>
      <c r="S41" s="26">
        <v>0.30127651855468751</v>
      </c>
    </row>
    <row r="42" spans="2:19">
      <c r="B42" s="14" t="str">
        <f>'[1]Tracked Data - MRK'!S22</f>
        <v>MRK241115P00105000</v>
      </c>
      <c r="C42" s="14"/>
      <c r="D42" s="15">
        <f>'[1]Tracked Data - MRK'!T22</f>
        <v>45601.622476851851</v>
      </c>
      <c r="E42" s="16">
        <v>101.65</v>
      </c>
      <c r="F42" s="17">
        <f>'[1]Tracked Data - MRK'!U22</f>
        <v>105</v>
      </c>
      <c r="G42" s="16">
        <f>'[1]Tracked Data - MRK'!V22</f>
        <v>4.57</v>
      </c>
      <c r="H42" s="16">
        <f>'[1]Tracked Data - MRK'!W22</f>
        <v>4.45</v>
      </c>
      <c r="I42" s="16">
        <f>'[1]Tracked Data - MRK'!X22</f>
        <v>4.5999999999999996</v>
      </c>
      <c r="J42" s="19" t="e">
        <f>#REF!</f>
        <v>#REF!</v>
      </c>
      <c r="K42" s="20">
        <f t="shared" si="7"/>
        <v>3.5714285714285712E-2</v>
      </c>
      <c r="L42" s="21">
        <f t="shared" si="7"/>
        <v>2.7397260273972601E-2</v>
      </c>
      <c r="M42" s="22">
        <f t="shared" si="8"/>
        <v>4.5250000000000004</v>
      </c>
      <c r="N42" s="23" t="e">
        <f t="shared" si="9"/>
        <v>#REF!</v>
      </c>
      <c r="O42" s="23" t="e">
        <f t="shared" si="10"/>
        <v>#REF!</v>
      </c>
      <c r="P42" s="23"/>
      <c r="Q42" s="26">
        <v>0.41238558208438292</v>
      </c>
      <c r="R42" s="25" t="e">
        <f t="shared" si="11"/>
        <v>#REF!</v>
      </c>
      <c r="S42" s="26">
        <v>0.32178412597656247</v>
      </c>
    </row>
    <row r="43" spans="2:19">
      <c r="B43" s="14" t="str">
        <f>'[1]Tracked Data - MRK'!S23</f>
        <v>MRK241115P00106000</v>
      </c>
      <c r="C43" s="14"/>
      <c r="D43" s="15">
        <f>'[1]Tracked Data - MRK'!T23</f>
        <v>45600.763067129628</v>
      </c>
      <c r="E43" s="16">
        <v>101.65</v>
      </c>
      <c r="F43" s="17">
        <f>'[1]Tracked Data - MRK'!U23</f>
        <v>106</v>
      </c>
      <c r="G43" s="16">
        <f>'[1]Tracked Data - MRK'!V23</f>
        <v>5.0999999999999996</v>
      </c>
      <c r="H43" s="16">
        <f>'[1]Tracked Data - MRK'!W23</f>
        <v>5</v>
      </c>
      <c r="I43" s="16">
        <f>'[1]Tracked Data - MRK'!X23</f>
        <v>5.4</v>
      </c>
      <c r="J43" s="19" t="e">
        <f>#REF!</f>
        <v>#REF!</v>
      </c>
      <c r="K43" s="20">
        <f t="shared" si="7"/>
        <v>3.5714285714285712E-2</v>
      </c>
      <c r="L43" s="21">
        <f t="shared" si="7"/>
        <v>2.7397260273972601E-2</v>
      </c>
      <c r="M43" s="22">
        <f t="shared" si="8"/>
        <v>5.2</v>
      </c>
      <c r="N43" s="23" t="e">
        <f t="shared" si="9"/>
        <v>#REF!</v>
      </c>
      <c r="O43" s="23" t="e">
        <f t="shared" si="10"/>
        <v>#REF!</v>
      </c>
      <c r="P43" s="23"/>
      <c r="Q43" s="26">
        <v>0.43108974874875816</v>
      </c>
      <c r="R43" s="25" t="e">
        <f t="shared" si="11"/>
        <v>#REF!</v>
      </c>
      <c r="S43" s="26">
        <v>0.32691102783203119</v>
      </c>
    </row>
    <row r="44" spans="2:19">
      <c r="B44" s="14" t="str">
        <f>'[1]Tracked Data - MRK'!S24</f>
        <v>MRK241115P00107000</v>
      </c>
      <c r="C44" s="14"/>
      <c r="D44" s="15">
        <f>'[1]Tracked Data - MRK'!T24</f>
        <v>45600.724027777767</v>
      </c>
      <c r="E44" s="16">
        <v>101.65</v>
      </c>
      <c r="F44" s="17">
        <f>'[1]Tracked Data - MRK'!U24</f>
        <v>107</v>
      </c>
      <c r="G44" s="16">
        <f>'[1]Tracked Data - MRK'!V24</f>
        <v>6</v>
      </c>
      <c r="H44" s="16">
        <f>'[1]Tracked Data - MRK'!W24</f>
        <v>5.75</v>
      </c>
      <c r="I44" s="16">
        <f>'[1]Tracked Data - MRK'!X24</f>
        <v>6.4</v>
      </c>
      <c r="J44" s="19" t="e">
        <f>#REF!</f>
        <v>#REF!</v>
      </c>
      <c r="K44" s="20">
        <f t="shared" si="7"/>
        <v>3.5714285714285712E-2</v>
      </c>
      <c r="L44" s="21">
        <f t="shared" si="7"/>
        <v>2.7397260273972601E-2</v>
      </c>
      <c r="M44" s="22">
        <f t="shared" si="8"/>
        <v>6.0750000000000002</v>
      </c>
      <c r="N44" s="23" t="e">
        <f t="shared" si="9"/>
        <v>#REF!</v>
      </c>
      <c r="O44" s="23" t="e">
        <f t="shared" si="10"/>
        <v>#REF!</v>
      </c>
      <c r="P44" s="23"/>
      <c r="Q44" s="26">
        <v>0.47914753184629016</v>
      </c>
      <c r="R44" s="25" t="e">
        <f t="shared" si="11"/>
        <v>#REF!</v>
      </c>
      <c r="S44" s="26">
        <v>0.36524072265625002</v>
      </c>
    </row>
    <row r="45" spans="2:19">
      <c r="B45" s="14" t="str">
        <f>'[1]Tracked Data - MRK'!S25</f>
        <v>MRK241115P00108000</v>
      </c>
      <c r="C45" s="14"/>
      <c r="D45" s="15">
        <f>'[1]Tracked Data - MRK'!T25</f>
        <v>45597.68681712963</v>
      </c>
      <c r="E45" s="16">
        <v>101.65</v>
      </c>
      <c r="F45" s="17">
        <f>'[1]Tracked Data - MRK'!U25</f>
        <v>108</v>
      </c>
      <c r="G45" s="16">
        <f>'[1]Tracked Data - MRK'!V25</f>
        <v>5.85</v>
      </c>
      <c r="H45" s="16">
        <f>'[1]Tracked Data - MRK'!W25</f>
        <v>7.05</v>
      </c>
      <c r="I45" s="16">
        <f>'[1]Tracked Data - MRK'!X25</f>
        <v>7.35</v>
      </c>
      <c r="J45" s="19" t="e">
        <f>#REF!</f>
        <v>#REF!</v>
      </c>
      <c r="K45" s="20">
        <f t="shared" si="7"/>
        <v>3.5714285714285712E-2</v>
      </c>
      <c r="L45" s="21">
        <f t="shared" si="7"/>
        <v>2.7397260273972601E-2</v>
      </c>
      <c r="M45" s="22">
        <f t="shared" si="8"/>
        <v>7.1999999999999993</v>
      </c>
      <c r="N45" s="23" t="e">
        <f t="shared" si="9"/>
        <v>#REF!</v>
      </c>
      <c r="O45" s="23" t="e">
        <f t="shared" si="10"/>
        <v>#REF!</v>
      </c>
      <c r="P45" s="23"/>
      <c r="Q45" s="26">
        <v>0.5605694471652406</v>
      </c>
      <c r="R45" s="25" t="e">
        <f t="shared" si="11"/>
        <v>#REF!</v>
      </c>
      <c r="S45" s="26">
        <v>0.39111937011718739</v>
      </c>
    </row>
    <row r="46" spans="2:19">
      <c r="B46" s="14" t="str">
        <f>'[1]Tracked Data - MRK'!S26</f>
        <v>MRK241115P00109000</v>
      </c>
      <c r="C46" s="14"/>
      <c r="D46" s="15">
        <f>'[1]Tracked Data - MRK'!T26</f>
        <v>45600.612141203703</v>
      </c>
      <c r="E46" s="16">
        <v>101.65</v>
      </c>
      <c r="F46" s="17">
        <f>'[1]Tracked Data - MRK'!U26</f>
        <v>109</v>
      </c>
      <c r="G46" s="16">
        <f>'[1]Tracked Data - MRK'!V26</f>
        <v>7.25</v>
      </c>
      <c r="H46" s="16">
        <f>'[1]Tracked Data - MRK'!W26</f>
        <v>7.95</v>
      </c>
      <c r="I46" s="16">
        <f>'[1]Tracked Data - MRK'!X26</f>
        <v>8.35</v>
      </c>
      <c r="J46" s="19" t="e">
        <f>#REF!</f>
        <v>#REF!</v>
      </c>
      <c r="K46" s="20">
        <f t="shared" si="7"/>
        <v>3.5714285714285712E-2</v>
      </c>
      <c r="L46" s="21">
        <f t="shared" si="7"/>
        <v>2.7397260273972601E-2</v>
      </c>
      <c r="M46" s="22">
        <f t="shared" si="8"/>
        <v>8.15</v>
      </c>
      <c r="N46" s="23" t="e">
        <f t="shared" si="9"/>
        <v>#REF!</v>
      </c>
      <c r="O46" s="23" t="e">
        <f t="shared" si="10"/>
        <v>#REF!</v>
      </c>
      <c r="P46" s="23"/>
      <c r="Q46" s="26">
        <v>0.61581756363533646</v>
      </c>
      <c r="R46" s="25" t="e">
        <f t="shared" si="11"/>
        <v>#REF!</v>
      </c>
      <c r="S46" s="26">
        <v>0.42578699218749999</v>
      </c>
    </row>
    <row r="47" spans="2:19">
      <c r="B47" s="14" t="str">
        <f>'[1]Tracked Data - MRK'!S27</f>
        <v>MRK241115P00110000</v>
      </c>
      <c r="C47" s="14"/>
      <c r="D47" s="15">
        <f>'[1]Tracked Data - MRK'!T27</f>
        <v>45601.622476851851</v>
      </c>
      <c r="E47" s="16">
        <v>101.65</v>
      </c>
      <c r="F47" s="17">
        <f>'[1]Tracked Data - MRK'!U27</f>
        <v>110</v>
      </c>
      <c r="G47" s="16">
        <f>'[1]Tracked Data - MRK'!V27</f>
        <v>9.1999999999999993</v>
      </c>
      <c r="H47" s="16">
        <f>'[1]Tracked Data - MRK'!W27</f>
        <v>9.0500000000000007</v>
      </c>
      <c r="I47" s="16">
        <f>'[1]Tracked Data - MRK'!X27</f>
        <v>9.3000000000000007</v>
      </c>
      <c r="J47" s="19" t="e">
        <f>#REF!</f>
        <v>#REF!</v>
      </c>
      <c r="K47" s="20">
        <f t="shared" ref="K47:L62" si="12">K46</f>
        <v>3.5714285714285712E-2</v>
      </c>
      <c r="L47" s="21">
        <f t="shared" si="12"/>
        <v>2.7397260273972601E-2</v>
      </c>
      <c r="M47" s="22">
        <f t="shared" si="8"/>
        <v>9.1750000000000007</v>
      </c>
      <c r="N47" s="23" t="e">
        <f t="shared" si="9"/>
        <v>#REF!</v>
      </c>
      <c r="O47" s="23" t="e">
        <f t="shared" si="10"/>
        <v>#REF!</v>
      </c>
      <c r="P47" s="23"/>
      <c r="Q47" s="26">
        <v>0.6811760709372261</v>
      </c>
      <c r="R47" s="25" t="e">
        <f t="shared" si="11"/>
        <v>#REF!</v>
      </c>
      <c r="S47" s="26">
        <v>0.44775942871093738</v>
      </c>
    </row>
    <row r="48" spans="2:19">
      <c r="B48" s="28" t="str">
        <f>'[1]Tracked Data - MRK'!S28</f>
        <v>MRK241115P00111000</v>
      </c>
      <c r="C48" s="28"/>
      <c r="D48" s="29">
        <f>'[1]Tracked Data - MRK'!T28</f>
        <v>45597.735868055563</v>
      </c>
      <c r="E48" s="30">
        <v>101.65</v>
      </c>
      <c r="F48" s="31">
        <f>'[1]Tracked Data - MRK'!U28</f>
        <v>111</v>
      </c>
      <c r="G48" s="30">
        <f>'[1]Tracked Data - MRK'!V28</f>
        <v>9</v>
      </c>
      <c r="H48" s="30">
        <f>'[1]Tracked Data - MRK'!W28</f>
        <v>10.050000000000001</v>
      </c>
      <c r="I48" s="30">
        <f>'[1]Tracked Data - MRK'!X28</f>
        <v>10.3</v>
      </c>
      <c r="J48" s="32" t="e">
        <f>#REF!</f>
        <v>#REF!</v>
      </c>
      <c r="K48" s="33">
        <f t="shared" si="12"/>
        <v>3.5714285714285712E-2</v>
      </c>
      <c r="L48" s="34">
        <f t="shared" si="12"/>
        <v>2.7397260273972601E-2</v>
      </c>
      <c r="M48" s="35">
        <f t="shared" si="8"/>
        <v>10.175000000000001</v>
      </c>
      <c r="N48" s="36" t="e">
        <f t="shared" si="9"/>
        <v>#REF!</v>
      </c>
      <c r="O48" s="36" t="e">
        <f t="shared" si="10"/>
        <v>#REF!</v>
      </c>
      <c r="P48" s="36"/>
      <c r="Q48" s="37">
        <v>0.74076020865759107</v>
      </c>
      <c r="R48" s="30" t="e">
        <f t="shared" si="11"/>
        <v>#REF!</v>
      </c>
      <c r="S48" s="38">
        <v>0.47998566894531253</v>
      </c>
    </row>
    <row r="49" spans="2:19">
      <c r="B49" s="14" t="str">
        <f>'[1]Tracked Data - MRK'!S29</f>
        <v>MRK241115P00112000</v>
      </c>
      <c r="C49" s="14"/>
      <c r="D49" s="15">
        <f>'[1]Tracked Data - MRK'!T29</f>
        <v>45587.783668981479</v>
      </c>
      <c r="E49" s="16">
        <v>101.65</v>
      </c>
      <c r="F49" s="17">
        <f>'[1]Tracked Data - MRK'!U29</f>
        <v>112</v>
      </c>
      <c r="G49" s="16">
        <f>'[1]Tracked Data - MRK'!V29</f>
        <v>6.54</v>
      </c>
      <c r="H49" s="16">
        <f>'[1]Tracked Data - MRK'!W29</f>
        <v>11.05</v>
      </c>
      <c r="I49" s="16">
        <f>'[1]Tracked Data - MRK'!X29</f>
        <v>12.75</v>
      </c>
      <c r="J49" s="19" t="e">
        <f>#REF!</f>
        <v>#REF!</v>
      </c>
      <c r="K49" s="20">
        <f t="shared" si="12"/>
        <v>3.5714285714285712E-2</v>
      </c>
      <c r="L49" s="21">
        <f t="shared" si="12"/>
        <v>2.7397260273972601E-2</v>
      </c>
      <c r="M49" s="22">
        <f t="shared" si="8"/>
        <v>11.9</v>
      </c>
      <c r="N49" s="23" t="e">
        <f t="shared" si="9"/>
        <v>#REF!</v>
      </c>
      <c r="O49" s="23" t="e">
        <f t="shared" si="10"/>
        <v>#REF!</v>
      </c>
      <c r="P49" s="23"/>
      <c r="Q49" s="26">
        <v>0.90186219078910623</v>
      </c>
      <c r="R49" s="25" t="e">
        <f t="shared" si="11"/>
        <v>#REF!</v>
      </c>
      <c r="S49" s="26">
        <v>0.64599963378906244</v>
      </c>
    </row>
    <row r="50" spans="2:19">
      <c r="B50" s="14" t="str">
        <f>'[1]Tracked Data - MRK'!S30</f>
        <v>MRK241115P00113000</v>
      </c>
      <c r="C50" s="14"/>
      <c r="D50" s="15">
        <f>'[1]Tracked Data - MRK'!T30</f>
        <v>45596.566840277781</v>
      </c>
      <c r="E50" s="16">
        <v>101.65</v>
      </c>
      <c r="F50" s="17">
        <f>'[1]Tracked Data - MRK'!U30</f>
        <v>113</v>
      </c>
      <c r="G50" s="16">
        <f>'[1]Tracked Data - MRK'!V30</f>
        <v>14.05</v>
      </c>
      <c r="H50" s="16">
        <f>'[1]Tracked Data - MRK'!W30</f>
        <v>12</v>
      </c>
      <c r="I50" s="16">
        <f>'[1]Tracked Data - MRK'!X30</f>
        <v>12.8</v>
      </c>
      <c r="J50" s="19" t="e">
        <f>#REF!</f>
        <v>#REF!</v>
      </c>
      <c r="K50" s="20">
        <f t="shared" si="12"/>
        <v>3.5714285714285712E-2</v>
      </c>
      <c r="L50" s="21">
        <f t="shared" si="12"/>
        <v>2.7397260273972601E-2</v>
      </c>
      <c r="M50" s="22">
        <f t="shared" si="8"/>
        <v>12.4</v>
      </c>
      <c r="N50" s="23" t="e">
        <f t="shared" si="9"/>
        <v>#REF!</v>
      </c>
      <c r="O50" s="23" t="e">
        <f t="shared" si="10"/>
        <v>#REF!</v>
      </c>
      <c r="P50" s="23"/>
      <c r="Q50" s="26">
        <v>0.88729412766169191</v>
      </c>
      <c r="R50" s="25" t="e">
        <f t="shared" si="11"/>
        <v>#REF!</v>
      </c>
      <c r="S50" s="26">
        <v>0.56738713867187496</v>
      </c>
    </row>
    <row r="51" spans="2:19">
      <c r="B51" s="14" t="str">
        <f>'[1]Tracked Data - MRK'!S31</f>
        <v>MRK241115P00114000</v>
      </c>
      <c r="C51" s="14"/>
      <c r="D51" s="15">
        <f>'[1]Tracked Data - MRK'!T31</f>
        <v>45587.606249999997</v>
      </c>
      <c r="E51" s="16">
        <v>101.65</v>
      </c>
      <c r="F51" s="17">
        <f>'[1]Tracked Data - MRK'!U31</f>
        <v>114</v>
      </c>
      <c r="G51" s="16">
        <f>'[1]Tracked Data - MRK'!V31</f>
        <v>8.27</v>
      </c>
      <c r="H51" s="16">
        <f>'[1]Tracked Data - MRK'!W31</f>
        <v>12.95</v>
      </c>
      <c r="I51" s="16">
        <f>'[1]Tracked Data - MRK'!X31</f>
        <v>13.25</v>
      </c>
      <c r="J51" s="19" t="e">
        <f>#REF!</f>
        <v>#REF!</v>
      </c>
      <c r="K51" s="20">
        <f t="shared" si="12"/>
        <v>3.5714285714285712E-2</v>
      </c>
      <c r="L51" s="21">
        <f t="shared" si="12"/>
        <v>2.7397260273972601E-2</v>
      </c>
      <c r="M51" s="22">
        <f t="shared" si="8"/>
        <v>13.1</v>
      </c>
      <c r="N51" s="23" t="e">
        <f t="shared" si="9"/>
        <v>#REF!</v>
      </c>
      <c r="O51" s="23" t="e">
        <f t="shared" si="10"/>
        <v>#REF!</v>
      </c>
      <c r="P51" s="23"/>
      <c r="Q51" s="26">
        <v>0.90032797775837681</v>
      </c>
      <c r="R51" s="25" t="e">
        <f t="shared" si="11"/>
        <v>#REF!</v>
      </c>
      <c r="S51" s="26">
        <v>0.51221190917968751</v>
      </c>
    </row>
    <row r="52" spans="2:19">
      <c r="B52" s="14" t="str">
        <f>'[1]Tracked Data - MRK'!S32</f>
        <v>MRK241115P00115000</v>
      </c>
      <c r="C52" s="14"/>
      <c r="D52" s="15">
        <f>'[1]Tracked Data - MRK'!T32</f>
        <v>45600.850706018522</v>
      </c>
      <c r="E52" s="16">
        <v>101.65</v>
      </c>
      <c r="F52" s="17">
        <f>'[1]Tracked Data - MRK'!U32</f>
        <v>115</v>
      </c>
      <c r="G52" s="16">
        <f>'[1]Tracked Data - MRK'!V32</f>
        <v>13.33</v>
      </c>
      <c r="H52" s="16">
        <f>'[1]Tracked Data - MRK'!W32</f>
        <v>13.95</v>
      </c>
      <c r="I52" s="16">
        <f>'[1]Tracked Data - MRK'!X32</f>
        <v>14.2</v>
      </c>
      <c r="J52" s="19" t="e">
        <f>#REF!</f>
        <v>#REF!</v>
      </c>
      <c r="K52" s="20">
        <f t="shared" si="12"/>
        <v>3.5714285714285712E-2</v>
      </c>
      <c r="L52" s="21">
        <f t="shared" si="12"/>
        <v>2.7397260273972601E-2</v>
      </c>
      <c r="M52" s="22">
        <f t="shared" si="8"/>
        <v>14.074999999999999</v>
      </c>
      <c r="N52" s="23" t="e">
        <f t="shared" si="9"/>
        <v>#REF!</v>
      </c>
      <c r="O52" s="23" t="e">
        <f t="shared" si="10"/>
        <v>#REF!</v>
      </c>
      <c r="P52" s="23"/>
      <c r="Q52" s="26">
        <v>0.95199994782293351</v>
      </c>
      <c r="R52" s="25" t="e">
        <f t="shared" si="11"/>
        <v>#REF!</v>
      </c>
      <c r="S52" s="26">
        <v>0.53125468750000004</v>
      </c>
    </row>
    <row r="53" spans="2:19">
      <c r="B53" s="14" t="str">
        <f>'[1]Tracked Data - MRK'!S33</f>
        <v>MRK241115P00116000</v>
      </c>
      <c r="C53" s="14"/>
      <c r="D53" s="15">
        <f>'[1]Tracked Data - MRK'!T33</f>
        <v>45593.566759259258</v>
      </c>
      <c r="E53" s="16">
        <v>101.65</v>
      </c>
      <c r="F53" s="17">
        <f>'[1]Tracked Data - MRK'!U33</f>
        <v>116</v>
      </c>
      <c r="G53" s="16">
        <f>'[1]Tracked Data - MRK'!V33</f>
        <v>11.4</v>
      </c>
      <c r="H53" s="16">
        <f>'[1]Tracked Data - MRK'!W33</f>
        <v>14.95</v>
      </c>
      <c r="I53" s="16">
        <f>'[1]Tracked Data - MRK'!X33</f>
        <v>15.35</v>
      </c>
      <c r="J53" s="19" t="e">
        <f>#REF!</f>
        <v>#REF!</v>
      </c>
      <c r="K53" s="20">
        <f t="shared" si="12"/>
        <v>3.5714285714285712E-2</v>
      </c>
      <c r="L53" s="21">
        <f t="shared" si="12"/>
        <v>2.7397260273972601E-2</v>
      </c>
      <c r="M53" s="22">
        <f t="shared" si="8"/>
        <v>15.149999999999999</v>
      </c>
      <c r="N53" s="23" t="e">
        <f t="shared" si="9"/>
        <v>#REF!</v>
      </c>
      <c r="O53" s="23" t="e">
        <f t="shared" si="10"/>
        <v>#REF!</v>
      </c>
      <c r="P53" s="23"/>
      <c r="Q53" s="26">
        <v>1.0151871276707602</v>
      </c>
      <c r="R53" s="25" t="e">
        <f t="shared" si="11"/>
        <v>#REF!</v>
      </c>
      <c r="S53" s="26">
        <v>0.58301198242187491</v>
      </c>
    </row>
    <row r="54" spans="2:19">
      <c r="B54" s="14" t="str">
        <f>'[1]Tracked Data - MRK'!S34</f>
        <v>MRK241115P00117000</v>
      </c>
      <c r="C54" s="14"/>
      <c r="D54" s="15">
        <f>'[1]Tracked Data - MRK'!T34</f>
        <v>45596.577118055553</v>
      </c>
      <c r="E54" s="16">
        <v>101.65</v>
      </c>
      <c r="F54" s="17">
        <f>'[1]Tracked Data - MRK'!U34</f>
        <v>117</v>
      </c>
      <c r="G54" s="16">
        <f>'[1]Tracked Data - MRK'!V34</f>
        <v>16.32</v>
      </c>
      <c r="H54" s="16">
        <f>'[1]Tracked Data - MRK'!W34</f>
        <v>15.95</v>
      </c>
      <c r="I54" s="16">
        <f>'[1]Tracked Data - MRK'!X34</f>
        <v>17.8</v>
      </c>
      <c r="J54" s="19" t="e">
        <f>#REF!</f>
        <v>#REF!</v>
      </c>
      <c r="K54" s="20">
        <f t="shared" si="12"/>
        <v>3.5714285714285712E-2</v>
      </c>
      <c r="L54" s="21">
        <f t="shared" si="12"/>
        <v>2.7397260273972601E-2</v>
      </c>
      <c r="M54" s="22">
        <f t="shared" si="8"/>
        <v>16.875</v>
      </c>
      <c r="N54" s="23" t="e">
        <f t="shared" si="9"/>
        <v>#REF!</v>
      </c>
      <c r="O54" s="23" t="e">
        <f t="shared" si="10"/>
        <v>#REF!</v>
      </c>
      <c r="P54" s="23"/>
      <c r="Q54" s="26">
        <v>1.1699784793414936</v>
      </c>
      <c r="R54" s="25" t="e">
        <f t="shared" si="11"/>
        <v>#REF!</v>
      </c>
      <c r="S54" s="26">
        <v>0.80298048583984372</v>
      </c>
    </row>
    <row r="55" spans="2:19">
      <c r="B55" s="14" t="str">
        <f>'[1]Tracked Data - MRK'!S35</f>
        <v>MRK241115P00118000</v>
      </c>
      <c r="C55" s="14"/>
      <c r="D55" s="15">
        <f>'[1]Tracked Data - MRK'!T35</f>
        <v>45596.693425925929</v>
      </c>
      <c r="E55" s="16">
        <v>101.65</v>
      </c>
      <c r="F55" s="17">
        <f>'[1]Tracked Data - MRK'!U35</f>
        <v>118</v>
      </c>
      <c r="G55" s="16">
        <f>'[1]Tracked Data - MRK'!V35</f>
        <v>16</v>
      </c>
      <c r="H55" s="16">
        <f>'[1]Tracked Data - MRK'!W35</f>
        <v>16.399999999999999</v>
      </c>
      <c r="I55" s="16">
        <f>'[1]Tracked Data - MRK'!X35</f>
        <v>17.649999999999999</v>
      </c>
      <c r="J55" s="19" t="e">
        <f>#REF!</f>
        <v>#REF!</v>
      </c>
      <c r="K55" s="20">
        <f t="shared" si="12"/>
        <v>3.5714285714285712E-2</v>
      </c>
      <c r="L55" s="21">
        <f t="shared" si="12"/>
        <v>2.7397260273972601E-2</v>
      </c>
      <c r="M55" s="22">
        <f t="shared" si="8"/>
        <v>17.024999999999999</v>
      </c>
      <c r="N55" s="23" t="e">
        <f t="shared" si="9"/>
        <v>#REF!</v>
      </c>
      <c r="O55" s="23" t="e">
        <f t="shared" si="10"/>
        <v>#REF!</v>
      </c>
      <c r="P55" s="23"/>
      <c r="Q55" s="26">
        <v>1.1015345352827022</v>
      </c>
      <c r="R55" s="25" t="e">
        <f t="shared" si="11"/>
        <v>#REF!</v>
      </c>
      <c r="S55" s="26">
        <v>0.58984785156250008</v>
      </c>
    </row>
    <row r="56" spans="2:19">
      <c r="B56" s="14" t="str">
        <f>'[1]Tracked Data - MRK'!S36</f>
        <v>MRK241115P00119000</v>
      </c>
      <c r="C56" s="14"/>
      <c r="D56" s="15">
        <f>'[1]Tracked Data - MRK'!T36</f>
        <v>0</v>
      </c>
      <c r="E56" s="16">
        <v>101.65</v>
      </c>
      <c r="F56" s="17">
        <f>'[1]Tracked Data - MRK'!U36</f>
        <v>119</v>
      </c>
      <c r="G56" s="16">
        <f>'[1]Tracked Data - MRK'!V36</f>
        <v>0</v>
      </c>
      <c r="H56" s="16">
        <f>'[1]Tracked Data - MRK'!W36</f>
        <v>17.3999938964844</v>
      </c>
      <c r="I56" s="16">
        <f>'[1]Tracked Data - MRK'!X36</f>
        <v>18.3999938964844</v>
      </c>
      <c r="J56" s="19" t="e">
        <f>#REF!</f>
        <v>#REF!</v>
      </c>
      <c r="K56" s="20">
        <f t="shared" si="12"/>
        <v>3.5714285714285712E-2</v>
      </c>
      <c r="L56" s="21">
        <f t="shared" si="12"/>
        <v>2.7397260273972601E-2</v>
      </c>
      <c r="M56" s="22">
        <f t="shared" si="8"/>
        <v>17.8999938964844</v>
      </c>
      <c r="N56" s="23" t="e">
        <f t="shared" si="9"/>
        <v>#REF!</v>
      </c>
      <c r="O56" s="23" t="e">
        <f t="shared" si="10"/>
        <v>#REF!</v>
      </c>
      <c r="P56" s="23"/>
      <c r="Q56" s="26">
        <v>1.1333584902347873</v>
      </c>
      <c r="R56" s="25" t="e">
        <f t="shared" si="11"/>
        <v>#REF!</v>
      </c>
      <c r="S56" s="26">
        <v>0.58984785156250008</v>
      </c>
    </row>
    <row r="57" spans="2:19">
      <c r="B57" s="14" t="str">
        <f>'[1]Tracked Data - MRK'!S37</f>
        <v>MRK241115P00120000</v>
      </c>
      <c r="C57" s="14"/>
      <c r="D57" s="15">
        <f>'[1]Tracked Data - MRK'!T37</f>
        <v>45600.850706018522</v>
      </c>
      <c r="E57" s="16">
        <v>101.65</v>
      </c>
      <c r="F57" s="17">
        <f>'[1]Tracked Data - MRK'!U37</f>
        <v>120</v>
      </c>
      <c r="G57" s="16">
        <f>'[1]Tracked Data - MRK'!V37</f>
        <v>18.5</v>
      </c>
      <c r="H57" s="16">
        <f>'[1]Tracked Data - MRK'!W37</f>
        <v>19.05</v>
      </c>
      <c r="I57" s="16">
        <f>'[1]Tracked Data - MRK'!X37</f>
        <v>19.25</v>
      </c>
      <c r="J57" s="19" t="e">
        <f>#REF!</f>
        <v>#REF!</v>
      </c>
      <c r="K57" s="20">
        <f t="shared" si="12"/>
        <v>3.5714285714285712E-2</v>
      </c>
      <c r="L57" s="21">
        <f t="shared" si="12"/>
        <v>2.7397260273972601E-2</v>
      </c>
      <c r="M57" s="22">
        <f t="shared" si="8"/>
        <v>19.149999999999999</v>
      </c>
      <c r="N57" s="23" t="e">
        <f t="shared" si="9"/>
        <v>#REF!</v>
      </c>
      <c r="O57" s="23" t="e">
        <f t="shared" si="10"/>
        <v>#REF!</v>
      </c>
      <c r="P57" s="23"/>
      <c r="Q57" s="26">
        <v>1.2172002278315559</v>
      </c>
      <c r="R57" s="25" t="e">
        <f t="shared" si="11"/>
        <v>#REF!</v>
      </c>
      <c r="S57" s="26">
        <v>0.68652657226562508</v>
      </c>
    </row>
    <row r="58" spans="2:19">
      <c r="B58" s="14" t="str">
        <f>'[1]Tracked Data - MRK'!S38</f>
        <v>MRK241115P00121000</v>
      </c>
      <c r="C58" s="14"/>
      <c r="D58" s="15">
        <f>'[1]Tracked Data - MRK'!T38</f>
        <v>45600.684999999998</v>
      </c>
      <c r="E58" s="16">
        <v>101.65</v>
      </c>
      <c r="F58" s="17">
        <f>'[1]Tracked Data - MRK'!U38</f>
        <v>121</v>
      </c>
      <c r="G58" s="16">
        <f>'[1]Tracked Data - MRK'!V38</f>
        <v>19.399999999999999</v>
      </c>
      <c r="H58" s="16">
        <f>'[1]Tracked Data - MRK'!W38</f>
        <v>20</v>
      </c>
      <c r="I58" s="16">
        <f>'[1]Tracked Data - MRK'!X38</f>
        <v>20.3</v>
      </c>
      <c r="J58" s="19" t="e">
        <f>#REF!</f>
        <v>#REF!</v>
      </c>
      <c r="K58" s="20">
        <f t="shared" si="12"/>
        <v>3.5714285714285712E-2</v>
      </c>
      <c r="L58" s="21">
        <f t="shared" si="12"/>
        <v>2.7397260273972601E-2</v>
      </c>
      <c r="M58" s="22">
        <f t="shared" si="8"/>
        <v>20.149999999999999</v>
      </c>
      <c r="N58" s="23" t="e">
        <f t="shared" si="9"/>
        <v>#REF!</v>
      </c>
      <c r="O58" s="23" t="e">
        <f t="shared" si="10"/>
        <v>#REF!</v>
      </c>
      <c r="P58" s="23"/>
      <c r="Q58" s="26">
        <v>1.2650306142900269</v>
      </c>
      <c r="R58" s="25" t="e">
        <f>F58*EXP(-J58*L58)*_xlfn.NORM.S.DIST(-O58,TRUE)-E58*_xlfn.NORM.S.DIST(-N58,TRUE)</f>
        <v>#REF!</v>
      </c>
      <c r="S58" s="26">
        <v>0.71142866699218754</v>
      </c>
    </row>
    <row r="59" spans="2:19">
      <c r="B59" s="14" t="str">
        <f>'[1]Tracked Data - MRK'!S39</f>
        <v>MRK241115P00122000</v>
      </c>
      <c r="C59" s="14"/>
      <c r="D59" s="15">
        <f>'[1]Tracked Data - MRK'!T39</f>
        <v>0</v>
      </c>
      <c r="E59" s="16">
        <v>101.65</v>
      </c>
      <c r="F59" s="17">
        <f>'[1]Tracked Data - MRK'!U39</f>
        <v>122</v>
      </c>
      <c r="G59" s="16">
        <f>'[1]Tracked Data - MRK'!V39</f>
        <v>0</v>
      </c>
      <c r="H59" s="16">
        <f>'[1]Tracked Data - MRK'!W39</f>
        <v>19.050003051757798</v>
      </c>
      <c r="I59" s="16">
        <f>'[1]Tracked Data - MRK'!X39</f>
        <v>20.8500061035156</v>
      </c>
      <c r="J59" s="19" t="e">
        <f>#REF!</f>
        <v>#REF!</v>
      </c>
      <c r="K59" s="20">
        <f t="shared" si="12"/>
        <v>3.5714285714285712E-2</v>
      </c>
      <c r="L59" s="21">
        <f t="shared" si="12"/>
        <v>2.7397260273972601E-2</v>
      </c>
      <c r="M59" s="22">
        <f t="shared" si="8"/>
        <v>19.950004577636697</v>
      </c>
      <c r="N59" s="23" t="e">
        <f t="shared" si="9"/>
        <v>#REF!</v>
      </c>
      <c r="O59" s="23" t="e">
        <f t="shared" si="10"/>
        <v>#REF!</v>
      </c>
      <c r="P59" s="23"/>
      <c r="Q59" s="26">
        <v>1.1456923729452517</v>
      </c>
      <c r="R59" s="25" t="e">
        <f t="shared" si="11"/>
        <v>#REF!</v>
      </c>
      <c r="S59" s="26">
        <v>0.71142866699218754</v>
      </c>
    </row>
    <row r="60" spans="2:19">
      <c r="B60" s="14" t="str">
        <f>'[1]Tracked Data - MRK'!S40</f>
        <v>MRK241115P00125000</v>
      </c>
      <c r="C60" s="14"/>
      <c r="D60" s="15">
        <f>'[1]Tracked Data - MRK'!T40</f>
        <v>45600.850381944438</v>
      </c>
      <c r="E60" s="16">
        <v>101.65</v>
      </c>
      <c r="F60" s="17">
        <f>'[1]Tracked Data - MRK'!U40</f>
        <v>125</v>
      </c>
      <c r="G60" s="16">
        <f>'[1]Tracked Data - MRK'!V40</f>
        <v>23.45</v>
      </c>
      <c r="H60" s="16">
        <f>'[1]Tracked Data - MRK'!W40</f>
        <v>23.95</v>
      </c>
      <c r="I60" s="16">
        <f>'[1]Tracked Data - MRK'!X40</f>
        <v>24.25</v>
      </c>
      <c r="J60" s="19" t="e">
        <f>#REF!</f>
        <v>#REF!</v>
      </c>
      <c r="K60" s="20">
        <f t="shared" si="12"/>
        <v>3.5714285714285712E-2</v>
      </c>
      <c r="L60" s="21">
        <f t="shared" si="12"/>
        <v>2.7397260273972601E-2</v>
      </c>
      <c r="M60" s="22">
        <f t="shared" si="8"/>
        <v>24.1</v>
      </c>
      <c r="N60" s="23" t="e">
        <f t="shared" si="9"/>
        <v>#REF!</v>
      </c>
      <c r="O60" s="23" t="e">
        <f t="shared" si="10"/>
        <v>#REF!</v>
      </c>
      <c r="P60" s="23"/>
      <c r="Q60" s="26">
        <v>1.440240907862729</v>
      </c>
      <c r="R60" s="25" t="e">
        <f t="shared" si="11"/>
        <v>#REF!</v>
      </c>
      <c r="S60" s="26">
        <v>0.78613495117187493</v>
      </c>
    </row>
    <row r="61" spans="2:19">
      <c r="B61" s="14" t="str">
        <f>'[1]Tracked Data - MRK'!S41</f>
        <v>MRK241115P00130000</v>
      </c>
      <c r="C61" s="14"/>
      <c r="D61" s="15">
        <f>'[1]Tracked Data - MRK'!T41</f>
        <v>45600.850706018522</v>
      </c>
      <c r="E61" s="16">
        <v>101.65</v>
      </c>
      <c r="F61" s="17">
        <f>'[1]Tracked Data - MRK'!U41</f>
        <v>130</v>
      </c>
      <c r="G61" s="16">
        <f>'[1]Tracked Data - MRK'!V41</f>
        <v>28.1</v>
      </c>
      <c r="H61" s="16">
        <f>'[1]Tracked Data - MRK'!W41</f>
        <v>28.6</v>
      </c>
      <c r="I61" s="16">
        <f>'[1]Tracked Data - MRK'!X41</f>
        <v>30.5</v>
      </c>
      <c r="J61" s="19" t="e">
        <f>#REF!</f>
        <v>#REF!</v>
      </c>
      <c r="K61" s="20">
        <f t="shared" si="12"/>
        <v>3.5714285714285712E-2</v>
      </c>
      <c r="L61" s="21">
        <f t="shared" si="12"/>
        <v>2.7397260273972601E-2</v>
      </c>
      <c r="M61" s="22">
        <f t="shared" si="8"/>
        <v>29.55</v>
      </c>
      <c r="N61" s="23" t="e">
        <f t="shared" si="9"/>
        <v>#REF!</v>
      </c>
      <c r="O61" s="23" t="e">
        <f t="shared" si="10"/>
        <v>#REF!</v>
      </c>
      <c r="P61" s="23"/>
      <c r="Q61" s="26">
        <v>1.7097712860126995</v>
      </c>
      <c r="R61" s="25" t="e">
        <f t="shared" si="11"/>
        <v>#REF!</v>
      </c>
      <c r="S61" s="26">
        <v>1.0625046874999999</v>
      </c>
    </row>
    <row r="62" spans="2:19">
      <c r="B62" s="14" t="str">
        <f>'[1]Tracked Data - MRK'!S42</f>
        <v>MRK241115P00135000</v>
      </c>
      <c r="C62" s="14"/>
      <c r="D62" s="15">
        <f>'[1]Tracked Data - MRK'!T42</f>
        <v>45595.832141203697</v>
      </c>
      <c r="E62" s="16">
        <v>101.65</v>
      </c>
      <c r="F62" s="17">
        <f>'[1]Tracked Data - MRK'!U42</f>
        <v>135</v>
      </c>
      <c r="G62" s="16">
        <f>'[1]Tracked Data - MRK'!V42</f>
        <v>30.38</v>
      </c>
      <c r="H62" s="16">
        <f>'[1]Tracked Data - MRK'!W42</f>
        <v>32.950000000000003</v>
      </c>
      <c r="I62" s="16">
        <f>'[1]Tracked Data - MRK'!X42</f>
        <v>35.549999999999997</v>
      </c>
      <c r="J62" s="19" t="e">
        <f>#REF!</f>
        <v>#REF!</v>
      </c>
      <c r="K62" s="20">
        <f t="shared" si="12"/>
        <v>3.5714285714285712E-2</v>
      </c>
      <c r="L62" s="21">
        <f t="shared" si="12"/>
        <v>2.7397260273972601E-2</v>
      </c>
      <c r="M62" s="22">
        <f t="shared" si="8"/>
        <v>34.25</v>
      </c>
      <c r="N62" s="23" t="e">
        <f t="shared" si="9"/>
        <v>#REF!</v>
      </c>
      <c r="O62" s="23" t="e">
        <f t="shared" si="10"/>
        <v>#REF!</v>
      </c>
      <c r="P62" s="23"/>
      <c r="Q62" s="26">
        <v>1.8577902456789996</v>
      </c>
      <c r="R62" s="25" t="e">
        <f t="shared" si="11"/>
        <v>#REF!</v>
      </c>
      <c r="S62" s="26">
        <v>1.065434360351563</v>
      </c>
    </row>
    <row r="63" spans="2:19">
      <c r="B63" s="14" t="str">
        <f>'[1]Tracked Data - MRK'!S43</f>
        <v>MRK241115P00140000</v>
      </c>
      <c r="C63" s="14"/>
      <c r="D63" s="15">
        <f>'[1]Tracked Data - MRK'!T43</f>
        <v>0</v>
      </c>
      <c r="E63" s="16">
        <v>101.65</v>
      </c>
      <c r="F63" s="17">
        <f>'[1]Tracked Data - MRK'!U43</f>
        <v>140</v>
      </c>
      <c r="G63" s="16">
        <f>'[1]Tracked Data - MRK'!V43</f>
        <v>0</v>
      </c>
      <c r="H63" s="16">
        <f>'[1]Tracked Data - MRK'!W43</f>
        <v>36.7999877929688</v>
      </c>
      <c r="I63" s="16">
        <f>'[1]Tracked Data - MRK'!X43</f>
        <v>40.5</v>
      </c>
      <c r="J63" s="19" t="e">
        <f>#REF!</f>
        <v>#REF!</v>
      </c>
      <c r="K63" s="20">
        <f t="shared" ref="K63:L68" si="13">K62</f>
        <v>3.5714285714285712E-2</v>
      </c>
      <c r="L63" s="21">
        <f t="shared" si="13"/>
        <v>2.7397260273972601E-2</v>
      </c>
      <c r="M63" s="22">
        <f t="shared" si="8"/>
        <v>38.649993896484403</v>
      </c>
      <c r="N63" s="23" t="e">
        <f t="shared" si="9"/>
        <v>#REF!</v>
      </c>
      <c r="O63" s="23" t="e">
        <f t="shared" si="10"/>
        <v>#REF!</v>
      </c>
      <c r="P63" s="23"/>
      <c r="Q63" s="26">
        <v>1.9495305174216773</v>
      </c>
      <c r="R63" s="25" t="e">
        <f t="shared" si="11"/>
        <v>#REF!</v>
      </c>
      <c r="S63" s="26">
        <v>1.065434360351563</v>
      </c>
    </row>
    <row r="64" spans="2:19">
      <c r="B64" s="14" t="str">
        <f>'[1]Tracked Data - MRK'!S44</f>
        <v>MRK241115P00145000</v>
      </c>
      <c r="C64" s="14"/>
      <c r="D64" s="15">
        <f>'[1]Tracked Data - MRK'!T44</f>
        <v>0</v>
      </c>
      <c r="E64" s="16">
        <v>101.65</v>
      </c>
      <c r="F64" s="17">
        <f>'[1]Tracked Data - MRK'!U44</f>
        <v>145</v>
      </c>
      <c r="G64" s="16">
        <f>'[1]Tracked Data - MRK'!V44</f>
        <v>0</v>
      </c>
      <c r="H64" s="16">
        <f>'[1]Tracked Data - MRK'!W44</f>
        <v>41.550003051757798</v>
      </c>
      <c r="I64" s="16">
        <f>'[1]Tracked Data - MRK'!X44</f>
        <v>45.5</v>
      </c>
      <c r="J64" s="19" t="e">
        <f>#REF!</f>
        <v>#REF!</v>
      </c>
      <c r="K64" s="20">
        <f t="shared" si="13"/>
        <v>3.5714285714285712E-2</v>
      </c>
      <c r="L64" s="21">
        <f t="shared" si="13"/>
        <v>2.7397260273972601E-2</v>
      </c>
      <c r="M64" s="22">
        <f t="shared" si="8"/>
        <v>43.525001525878899</v>
      </c>
      <c r="N64" s="23" t="e">
        <f t="shared" si="9"/>
        <v>#REF!</v>
      </c>
      <c r="O64" s="23" t="e">
        <f t="shared" si="10"/>
        <v>#REF!</v>
      </c>
      <c r="P64" s="23"/>
      <c r="Q64" s="26">
        <v>2.0919297482934343</v>
      </c>
      <c r="R64" s="25" t="e">
        <f t="shared" si="11"/>
        <v>#REF!</v>
      </c>
      <c r="S64" s="26">
        <v>1.065434360351563</v>
      </c>
    </row>
    <row r="65" spans="2:19">
      <c r="B65" s="14" t="str">
        <f>'[1]Tracked Data - MRK'!S45</f>
        <v>MRK241115P00150000</v>
      </c>
      <c r="C65" s="14"/>
      <c r="D65" s="15">
        <f>'[1]Tracked Data - MRK'!T45</f>
        <v>0</v>
      </c>
      <c r="E65" s="16">
        <v>101.65</v>
      </c>
      <c r="F65" s="17">
        <f>'[1]Tracked Data - MRK'!U45</f>
        <v>150</v>
      </c>
      <c r="G65" s="16">
        <f>'[1]Tracked Data - MRK'!V45</f>
        <v>0</v>
      </c>
      <c r="H65" s="16">
        <f>'[1]Tracked Data - MRK'!W45</f>
        <v>46.449996948242202</v>
      </c>
      <c r="I65" s="16">
        <f>'[1]Tracked Data - MRK'!X45</f>
        <v>50.449996948242202</v>
      </c>
      <c r="J65" s="19" t="e">
        <f>#REF!</f>
        <v>#REF!</v>
      </c>
      <c r="K65" s="20">
        <f t="shared" si="13"/>
        <v>3.5714285714285712E-2</v>
      </c>
      <c r="L65" s="21">
        <f t="shared" si="13"/>
        <v>2.7397260273972601E-2</v>
      </c>
      <c r="M65" s="22">
        <f t="shared" si="8"/>
        <v>48.449996948242202</v>
      </c>
      <c r="N65" s="23" t="e">
        <f t="shared" si="9"/>
        <v>#REF!</v>
      </c>
      <c r="O65" s="23" t="e">
        <f t="shared" si="10"/>
        <v>#REF!</v>
      </c>
      <c r="P65" s="23"/>
      <c r="Q65" s="26">
        <v>2.2269763354346059</v>
      </c>
      <c r="R65" s="25" t="e">
        <f t="shared" si="11"/>
        <v>#REF!</v>
      </c>
      <c r="S65" s="26">
        <v>1.065434360351563</v>
      </c>
    </row>
    <row r="66" spans="2:19">
      <c r="B66" s="14" t="str">
        <f>'[1]Tracked Data - MRK'!S46</f>
        <v>MRK241115P00155000</v>
      </c>
      <c r="C66" s="14"/>
      <c r="D66" s="15">
        <f>'[1]Tracked Data - MRK'!T46</f>
        <v>0</v>
      </c>
      <c r="E66" s="16">
        <v>101.65</v>
      </c>
      <c r="F66" s="17">
        <f>'[1]Tracked Data - MRK'!U46</f>
        <v>155</v>
      </c>
      <c r="G66" s="16">
        <f>'[1]Tracked Data - MRK'!V46</f>
        <v>0</v>
      </c>
      <c r="H66" s="16">
        <f>'[1]Tracked Data - MRK'!W46</f>
        <v>51.699996948242202</v>
      </c>
      <c r="I66" s="16">
        <f>'[1]Tracked Data - MRK'!X46</f>
        <v>55.449996948242202</v>
      </c>
      <c r="J66" s="19" t="e">
        <f>#REF!</f>
        <v>#REF!</v>
      </c>
      <c r="K66" s="20">
        <f t="shared" si="13"/>
        <v>3.5714285714285712E-2</v>
      </c>
      <c r="L66" s="21">
        <f t="shared" si="13"/>
        <v>2.7397260273972601E-2</v>
      </c>
      <c r="M66" s="22">
        <f t="shared" si="8"/>
        <v>53.574996948242202</v>
      </c>
      <c r="N66" s="23" t="e">
        <f t="shared" si="9"/>
        <v>#REF!</v>
      </c>
      <c r="O66" s="23" t="e">
        <f t="shared" si="10"/>
        <v>#REF!</v>
      </c>
      <c r="P66" s="23"/>
      <c r="Q66" s="26">
        <v>2.3773719224961907</v>
      </c>
      <c r="R66" s="25" t="e">
        <f t="shared" si="11"/>
        <v>#REF!</v>
      </c>
      <c r="S66" s="26">
        <v>1.065434360351563</v>
      </c>
    </row>
    <row r="67" spans="2:19">
      <c r="B67" s="14" t="str">
        <f>'[1]Tracked Data - MRK'!S47</f>
        <v>MRK241115P00160000</v>
      </c>
      <c r="C67" s="14"/>
      <c r="D67" s="15">
        <f>'[1]Tracked Data - MRK'!T47</f>
        <v>0</v>
      </c>
      <c r="E67" s="16">
        <v>101.65</v>
      </c>
      <c r="F67" s="17">
        <f>'[1]Tracked Data - MRK'!U47</f>
        <v>160</v>
      </c>
      <c r="G67" s="16">
        <f>'[1]Tracked Data - MRK'!V47</f>
        <v>0</v>
      </c>
      <c r="H67" s="16">
        <f>'[1]Tracked Data - MRK'!W47</f>
        <v>56.75</v>
      </c>
      <c r="I67" s="16">
        <f>'[1]Tracked Data - MRK'!X47</f>
        <v>60.399993896484403</v>
      </c>
      <c r="J67" s="19">
        <f t="shared" ref="J67:J68" si="14">J22</f>
        <v>0</v>
      </c>
      <c r="K67" s="20">
        <f>K65</f>
        <v>3.5714285714285712E-2</v>
      </c>
      <c r="L67" s="21">
        <f>L65</f>
        <v>2.7397260273972601E-2</v>
      </c>
      <c r="M67" s="22">
        <f t="shared" si="8"/>
        <v>58.574996948242202</v>
      </c>
      <c r="N67" s="23">
        <f>(LN(E67/F67) + (J67+ (Q67^2) / 2*L67) / (Q67*SQRT(L67)))</f>
        <v>-0.24658981932288376</v>
      </c>
      <c r="O67" s="23">
        <f t="shared" si="10"/>
        <v>-0.66068673099605868</v>
      </c>
      <c r="P67" s="23"/>
      <c r="Q67" s="26">
        <v>2.5017760106352513</v>
      </c>
      <c r="R67" s="25">
        <f t="shared" si="11"/>
        <v>58.570536604674729</v>
      </c>
      <c r="S67" s="26">
        <v>1.065434360351563</v>
      </c>
    </row>
    <row r="68" spans="2:19">
      <c r="B68" s="14" t="str">
        <f>'[1]Tracked Data - MRK'!S48</f>
        <v>MRK241115P00170000</v>
      </c>
      <c r="C68" s="14"/>
      <c r="D68" s="15">
        <f>'[1]Tracked Data - MRK'!T48</f>
        <v>0</v>
      </c>
      <c r="E68" s="16">
        <v>101.65</v>
      </c>
      <c r="F68" s="17">
        <f>'[1]Tracked Data - MRK'!U48</f>
        <v>170</v>
      </c>
      <c r="G68" s="16">
        <f>'[1]Tracked Data - MRK'!V48</f>
        <v>0</v>
      </c>
      <c r="H68" s="16">
        <f>'[1]Tracked Data - MRK'!W48</f>
        <v>66.449996948242202</v>
      </c>
      <c r="I68" s="16">
        <f>'[1]Tracked Data - MRK'!X48</f>
        <v>70.449996948242202</v>
      </c>
      <c r="J68" s="19">
        <f t="shared" si="14"/>
        <v>0</v>
      </c>
      <c r="K68" s="20">
        <f t="shared" si="13"/>
        <v>3.5714285714285712E-2</v>
      </c>
      <c r="L68" s="21">
        <f t="shared" si="13"/>
        <v>2.7397260273972601E-2</v>
      </c>
      <c r="M68" s="22">
        <f t="shared" si="8"/>
        <v>68.449996948242202</v>
      </c>
      <c r="N68" s="23">
        <f t="shared" si="9"/>
        <v>-0.29012278171159156</v>
      </c>
      <c r="O68" s="23">
        <f t="shared" si="10"/>
        <v>-0.73840301224022031</v>
      </c>
      <c r="P68" s="23"/>
      <c r="Q68" s="26">
        <v>2.7082953172654975</v>
      </c>
      <c r="R68" s="25">
        <f t="shared" si="11"/>
        <v>68.449871591534048</v>
      </c>
      <c r="S68" s="26">
        <v>1.065434360351563</v>
      </c>
    </row>
  </sheetData>
  <mergeCells count="2">
    <mergeCell ref="B4:S6"/>
    <mergeCell ref="B25:S2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33179-3BBF-4C85-AC08-C725CA17A566}">
  <sheetPr>
    <tabColor theme="4" tint="0.79998168889431442"/>
  </sheetPr>
  <dimension ref="A1:W56"/>
  <sheetViews>
    <sheetView showGridLines="0" zoomScale="63" workbookViewId="0">
      <selection activeCell="R20" sqref="R20"/>
    </sheetView>
  </sheetViews>
  <sheetFormatPr defaultColWidth="8.85546875" defaultRowHeight="13.9"/>
  <cols>
    <col min="1" max="1" width="34.140625" style="196" bestFit="1" customWidth="1"/>
    <col min="2" max="2" width="75.42578125" style="196" customWidth="1"/>
    <col min="3" max="3" width="16.5703125" style="196" bestFit="1" customWidth="1"/>
    <col min="4" max="4" width="40.140625" style="196" customWidth="1"/>
    <col min="5" max="5" width="19.5703125" style="196" bestFit="1" customWidth="1"/>
    <col min="6" max="6" width="84.85546875" style="196" customWidth="1"/>
    <col min="7" max="7" width="9.7109375" style="196" bestFit="1" customWidth="1"/>
    <col min="8" max="8" width="27.42578125" style="196" customWidth="1"/>
    <col min="9" max="9" width="12.5703125" style="196" customWidth="1"/>
    <col min="10" max="10" width="20.7109375" style="196" bestFit="1" customWidth="1"/>
    <col min="11" max="11" width="30" style="196" bestFit="1" customWidth="1"/>
    <col min="12" max="12" width="15.7109375" style="196" bestFit="1" customWidth="1"/>
    <col min="13" max="13" width="13.28515625" style="196" bestFit="1" customWidth="1"/>
    <col min="14" max="14" width="28.28515625" style="196" customWidth="1"/>
    <col min="15" max="15" width="31.5703125" style="196" customWidth="1"/>
    <col min="16" max="16" width="23" style="196" bestFit="1" customWidth="1"/>
    <col min="17" max="20" width="14.42578125" style="196" customWidth="1"/>
    <col min="21" max="21" width="32.7109375" style="196" bestFit="1" customWidth="1"/>
    <col min="22" max="22" width="32.28515625" style="196" customWidth="1"/>
    <col min="23" max="23" width="31.7109375" style="196" bestFit="1" customWidth="1"/>
    <col min="24" max="28" width="8.85546875" style="196"/>
    <col min="29" max="30" width="8.85546875" style="196" customWidth="1"/>
    <col min="31" max="16384" width="8.85546875" style="196"/>
  </cols>
  <sheetData>
    <row r="1" spans="1:23" ht="28.15">
      <c r="A1" s="378" t="s">
        <v>36</v>
      </c>
      <c r="B1" s="378"/>
      <c r="C1" s="378"/>
      <c r="D1" s="378"/>
    </row>
    <row r="2" spans="1:23" ht="15.6">
      <c r="V2" s="350" t="s">
        <v>37</v>
      </c>
      <c r="W2" s="350"/>
    </row>
    <row r="3" spans="1:23" ht="82.9">
      <c r="A3" s="10" t="s">
        <v>38</v>
      </c>
      <c r="B3" s="11" t="s">
        <v>39</v>
      </c>
      <c r="C3" s="11" t="s">
        <v>40</v>
      </c>
      <c r="D3" s="285" t="s">
        <v>41</v>
      </c>
      <c r="E3" s="11" t="s">
        <v>38</v>
      </c>
      <c r="F3" s="11" t="s">
        <v>40</v>
      </c>
      <c r="G3" s="286" t="s">
        <v>42</v>
      </c>
      <c r="H3" s="287" t="s">
        <v>43</v>
      </c>
      <c r="I3" s="285" t="s">
        <v>44</v>
      </c>
      <c r="J3" s="285" t="s">
        <v>45</v>
      </c>
      <c r="K3" s="285" t="s">
        <v>46</v>
      </c>
      <c r="L3" s="288" t="s">
        <v>47</v>
      </c>
      <c r="M3" s="285" t="s">
        <v>48</v>
      </c>
      <c r="N3" s="285" t="s">
        <v>49</v>
      </c>
      <c r="O3" s="288" t="s">
        <v>50</v>
      </c>
      <c r="P3" s="285" t="s">
        <v>51</v>
      </c>
      <c r="Q3" s="285" t="s">
        <v>52</v>
      </c>
      <c r="R3" s="285" t="s">
        <v>53</v>
      </c>
      <c r="S3" s="285" t="str">
        <f>'Q1. Put- Call Parity(With zero '!K4</f>
        <v>S - K*e^-r(T-t)</v>
      </c>
      <c r="T3" s="285" t="s">
        <v>52</v>
      </c>
      <c r="U3" s="285" t="s">
        <v>54</v>
      </c>
      <c r="V3" s="289" t="s">
        <v>55</v>
      </c>
      <c r="W3" s="289" t="s">
        <v>56</v>
      </c>
    </row>
    <row r="4" spans="1:23">
      <c r="A4" s="290" t="s">
        <v>17</v>
      </c>
      <c r="B4" s="199">
        <v>45423</v>
      </c>
      <c r="C4" s="198">
        <v>12</v>
      </c>
      <c r="D4" s="291">
        <f>('Bloomberg Raw Data-5th(No zero)'!C6+'Bloomberg Raw Data-5th(No zero)'!D6)/2</f>
        <v>6.8000001907348651</v>
      </c>
      <c r="E4" s="292" t="s">
        <v>57</v>
      </c>
      <c r="F4" s="198">
        <v>24</v>
      </c>
      <c r="G4" s="291">
        <f>('Bloomberg Raw Data-5th(No zero)'!J6+'Bloomberg Raw Data-5th(No zero)'!K6)/2</f>
        <v>0.16999998688697826</v>
      </c>
      <c r="H4" s="198">
        <v>101.65</v>
      </c>
      <c r="I4" s="198">
        <v>95</v>
      </c>
      <c r="J4" s="293">
        <f>4.6975/100</f>
        <v>4.6974999999999996E-2</v>
      </c>
      <c r="K4" s="291">
        <f>9/252</f>
        <v>3.5714285714285712E-2</v>
      </c>
      <c r="L4" s="291">
        <f>H4+G4</f>
        <v>101.81999998688698</v>
      </c>
      <c r="M4" s="291">
        <f>$D$31^((-J4)*(K4))</f>
        <v>0.99832372845504969</v>
      </c>
      <c r="N4" s="291">
        <f>I4*M4</f>
        <v>94.840754203229721</v>
      </c>
      <c r="O4" s="291">
        <f>D4+N4</f>
        <v>101.64075439396458</v>
      </c>
      <c r="P4" s="198" t="str">
        <f>IF(L4=O4,"Not Violated","Violated")</f>
        <v>Violated</v>
      </c>
      <c r="Q4" s="291">
        <f>ABS(L4-O4)</f>
        <v>0.17924559292239906</v>
      </c>
      <c r="R4" s="291">
        <f>D4-G4</f>
        <v>6.6300002038478869</v>
      </c>
      <c r="S4" s="291">
        <f>H4-N4</f>
        <v>6.8092457967702842</v>
      </c>
      <c r="T4" s="291">
        <f>R4-S4</f>
        <v>-0.17924559292239728</v>
      </c>
      <c r="U4" s="294">
        <f>O4-H4</f>
        <v>-9.2456060354209058E-3</v>
      </c>
      <c r="V4" s="295" t="str">
        <f t="shared" ref="V4:V17" si="0">IF(ABS(G4-U4)&lt;=0.01,"NO VIOLATION",IF(G4&gt;U4,"YES", "NO"))</f>
        <v>YES</v>
      </c>
      <c r="W4" s="295" t="str">
        <f t="shared" ref="W4:W17" si="1">IF(ABS(G4-U4)&lt;=0.01,"NO VIOLATION",IF(G4&gt;U4,"NO", "YES"))</f>
        <v>NO</v>
      </c>
    </row>
    <row r="5" spans="1:23">
      <c r="A5" s="290" t="s">
        <v>18</v>
      </c>
      <c r="B5" s="199">
        <v>45423</v>
      </c>
      <c r="C5" s="198">
        <v>2</v>
      </c>
      <c r="D5" s="291">
        <f>('Bloomberg Raw Data-5th(No zero)'!C7+'Bloomberg Raw Data-5th(No zero)'!D7)/2</f>
        <v>4.2250003814697248</v>
      </c>
      <c r="E5" s="292" t="s">
        <v>58</v>
      </c>
      <c r="F5" s="198">
        <v>124</v>
      </c>
      <c r="G5" s="291">
        <f>('Bloomberg Raw Data-5th(No zero)'!J7+'Bloomberg Raw Data-5th(No zero)'!K7)/2</f>
        <v>0.61000001430511497</v>
      </c>
      <c r="H5" s="198">
        <v>101.65</v>
      </c>
      <c r="I5" s="198">
        <v>98</v>
      </c>
      <c r="J5" s="293">
        <f t="shared" ref="J5:J17" si="2">4.6975/100</f>
        <v>4.6974999999999996E-2</v>
      </c>
      <c r="K5" s="291">
        <f t="shared" ref="K5:K17" si="3">9/252</f>
        <v>3.5714285714285712E-2</v>
      </c>
      <c r="L5" s="291">
        <f t="shared" ref="L5:L17" si="4">H5+G5</f>
        <v>102.26000001430512</v>
      </c>
      <c r="M5" s="291">
        <f t="shared" ref="M5:M17" si="5">$D$31^((-J5)*(K5))</f>
        <v>0.99832372845504969</v>
      </c>
      <c r="N5" s="291">
        <f t="shared" ref="N5:N17" si="6">I5*M5</f>
        <v>97.835725388594867</v>
      </c>
      <c r="O5" s="291">
        <f t="shared" ref="O5:O17" si="7">D5+N5</f>
        <v>102.06072577006459</v>
      </c>
      <c r="P5" s="198" t="str">
        <f t="shared" ref="P5:P17" si="8">IF(L5=O5,"Not Violated","Violated")</f>
        <v>Violated</v>
      </c>
      <c r="Q5" s="291">
        <f t="shared" ref="Q5:Q17" si="9">ABS(L5-O5)</f>
        <v>0.19927424424052731</v>
      </c>
      <c r="R5" s="291">
        <f t="shared" ref="R5:R17" si="10">D5-G5</f>
        <v>3.61500036716461</v>
      </c>
      <c r="S5" s="291">
        <f t="shared" ref="S5:S17" si="11">H5-N5</f>
        <v>3.8142746114051391</v>
      </c>
      <c r="T5" s="291">
        <f t="shared" ref="T5:T17" si="12">R5-S5</f>
        <v>-0.19927424424052909</v>
      </c>
      <c r="U5" s="294">
        <f t="shared" ref="U5:U17" si="13">O5-H5</f>
        <v>0.41072577006458744</v>
      </c>
      <c r="V5" s="295" t="str">
        <f t="shared" si="0"/>
        <v>YES</v>
      </c>
      <c r="W5" s="295" t="str">
        <f t="shared" si="1"/>
        <v>NO</v>
      </c>
    </row>
    <row r="6" spans="1:23">
      <c r="A6" s="290" t="s">
        <v>19</v>
      </c>
      <c r="B6" s="199">
        <v>45423</v>
      </c>
      <c r="C6" s="198">
        <v>10</v>
      </c>
      <c r="D6" s="291">
        <f>('Bloomberg Raw Data-5th(No zero)'!C8+'Bloomberg Raw Data-5th(No zero)'!D8)/2</f>
        <v>3.4750003814697248</v>
      </c>
      <c r="E6" s="292" t="s">
        <v>59</v>
      </c>
      <c r="F6" s="198">
        <v>56</v>
      </c>
      <c r="G6" s="291">
        <f>('Bloomberg Raw Data-5th(No zero)'!J8+'Bloomberg Raw Data-5th(No zero)'!K8)/2</f>
        <v>0.87999999523162853</v>
      </c>
      <c r="H6" s="198">
        <v>101.65</v>
      </c>
      <c r="I6" s="198">
        <v>99</v>
      </c>
      <c r="J6" s="293">
        <f t="shared" si="2"/>
        <v>4.6974999999999996E-2</v>
      </c>
      <c r="K6" s="291">
        <f t="shared" si="3"/>
        <v>3.5714285714285712E-2</v>
      </c>
      <c r="L6" s="291">
        <f t="shared" si="4"/>
        <v>102.52999999523163</v>
      </c>
      <c r="M6" s="291">
        <f t="shared" si="5"/>
        <v>0.99832372845504969</v>
      </c>
      <c r="N6" s="291">
        <f t="shared" si="6"/>
        <v>98.834049117049915</v>
      </c>
      <c r="O6" s="291">
        <f t="shared" si="7"/>
        <v>102.30904949851964</v>
      </c>
      <c r="P6" s="198" t="str">
        <f t="shared" si="8"/>
        <v>Violated</v>
      </c>
      <c r="Q6" s="291">
        <f t="shared" si="9"/>
        <v>0.22095049671199263</v>
      </c>
      <c r="R6" s="291">
        <f t="shared" si="10"/>
        <v>2.5950003862380964</v>
      </c>
      <c r="S6" s="291">
        <f t="shared" si="11"/>
        <v>2.8159508829500908</v>
      </c>
      <c r="T6" s="291">
        <f t="shared" si="12"/>
        <v>-0.2209504967119944</v>
      </c>
      <c r="U6" s="294">
        <f t="shared" si="13"/>
        <v>0.65904949851963579</v>
      </c>
      <c r="V6" s="295" t="str">
        <f t="shared" si="0"/>
        <v>YES</v>
      </c>
      <c r="W6" s="295" t="str">
        <f t="shared" si="1"/>
        <v>NO</v>
      </c>
    </row>
    <row r="7" spans="1:23">
      <c r="A7" s="290" t="s">
        <v>20</v>
      </c>
      <c r="B7" s="199">
        <v>45423</v>
      </c>
      <c r="C7" s="198">
        <v>55</v>
      </c>
      <c r="D7" s="291">
        <f>('Bloomberg Raw Data-5th(No zero)'!C9+'Bloomberg Raw Data-5th(No zero)'!D9)/2</f>
        <v>2.7850003242492649</v>
      </c>
      <c r="E7" s="292" t="s">
        <v>60</v>
      </c>
      <c r="F7" s="198">
        <v>84</v>
      </c>
      <c r="G7" s="291">
        <f>('Bloomberg Raw Data-5th(No zero)'!J9+'Bloomberg Raw Data-5th(No zero)'!K9)/2</f>
        <v>1.1300001144409202</v>
      </c>
      <c r="H7" s="198">
        <v>101.65</v>
      </c>
      <c r="I7" s="198">
        <v>100</v>
      </c>
      <c r="J7" s="293">
        <f t="shared" si="2"/>
        <v>4.6974999999999996E-2</v>
      </c>
      <c r="K7" s="291">
        <f t="shared" si="3"/>
        <v>3.5714285714285712E-2</v>
      </c>
      <c r="L7" s="291">
        <f t="shared" si="4"/>
        <v>102.78000011444092</v>
      </c>
      <c r="M7" s="291">
        <f t="shared" si="5"/>
        <v>0.99832372845504969</v>
      </c>
      <c r="N7" s="291">
        <f t="shared" si="6"/>
        <v>99.832372845504963</v>
      </c>
      <c r="O7" s="291">
        <f t="shared" si="7"/>
        <v>102.61737316975423</v>
      </c>
      <c r="P7" s="198" t="str">
        <f t="shared" si="8"/>
        <v>Violated</v>
      </c>
      <c r="Q7" s="291">
        <f t="shared" si="9"/>
        <v>0.16262694468669281</v>
      </c>
      <c r="R7" s="291">
        <f t="shared" si="10"/>
        <v>1.6550002098083447</v>
      </c>
      <c r="S7" s="291">
        <f t="shared" si="11"/>
        <v>1.8176271544950424</v>
      </c>
      <c r="T7" s="291">
        <f t="shared" si="12"/>
        <v>-0.16262694468669769</v>
      </c>
      <c r="U7" s="294">
        <f t="shared" si="13"/>
        <v>0.96737316975422516</v>
      </c>
      <c r="V7" s="295" t="str">
        <f t="shared" si="0"/>
        <v>YES</v>
      </c>
      <c r="W7" s="295" t="str">
        <f t="shared" si="1"/>
        <v>NO</v>
      </c>
    </row>
    <row r="8" spans="1:23">
      <c r="A8" s="290" t="s">
        <v>21</v>
      </c>
      <c r="B8" s="199">
        <v>45423</v>
      </c>
      <c r="C8" s="198">
        <v>28</v>
      </c>
      <c r="D8" s="291">
        <f>('Bloomberg Raw Data-5th(No zero)'!C10+'Bloomberg Raw Data-5th(No zero)'!D10)/2</f>
        <v>2.1599998474121103</v>
      </c>
      <c r="E8" s="292" t="s">
        <v>61</v>
      </c>
      <c r="F8" s="198">
        <v>100</v>
      </c>
      <c r="G8" s="291">
        <f>('Bloomberg Raw Data-5th(No zero)'!J10+'Bloomberg Raw Data-5th(No zero)'!K10)/2</f>
        <v>1.5499997138977051</v>
      </c>
      <c r="H8" s="198">
        <v>101.65</v>
      </c>
      <c r="I8" s="198">
        <v>101</v>
      </c>
      <c r="J8" s="293">
        <f t="shared" si="2"/>
        <v>4.6974999999999996E-2</v>
      </c>
      <c r="K8" s="291">
        <f t="shared" si="3"/>
        <v>3.5714285714285712E-2</v>
      </c>
      <c r="L8" s="291">
        <f t="shared" si="4"/>
        <v>103.19999971389771</v>
      </c>
      <c r="M8" s="291">
        <f t="shared" si="5"/>
        <v>0.99832372845504969</v>
      </c>
      <c r="N8" s="291">
        <f t="shared" si="6"/>
        <v>100.83069657396001</v>
      </c>
      <c r="O8" s="291">
        <f t="shared" si="7"/>
        <v>102.99069642137212</v>
      </c>
      <c r="P8" s="198" t="str">
        <f t="shared" si="8"/>
        <v>Violated</v>
      </c>
      <c r="Q8" s="291">
        <f t="shared" si="9"/>
        <v>0.20930329252558977</v>
      </c>
      <c r="R8" s="291">
        <f t="shared" si="10"/>
        <v>0.61000013351440519</v>
      </c>
      <c r="S8" s="291">
        <f t="shared" si="11"/>
        <v>0.81930342603999406</v>
      </c>
      <c r="T8" s="291">
        <f t="shared" si="12"/>
        <v>-0.20930329252558888</v>
      </c>
      <c r="U8" s="294">
        <f t="shared" si="13"/>
        <v>1.3406964213721153</v>
      </c>
      <c r="V8" s="295" t="str">
        <f t="shared" si="0"/>
        <v>YES</v>
      </c>
      <c r="W8" s="295" t="str">
        <f t="shared" si="1"/>
        <v>NO</v>
      </c>
    </row>
    <row r="9" spans="1:23">
      <c r="A9" s="296" t="s">
        <v>22</v>
      </c>
      <c r="B9" s="297">
        <v>45423</v>
      </c>
      <c r="C9" s="298">
        <v>41</v>
      </c>
      <c r="D9" s="299">
        <f>('Bloomberg Raw Data-5th(No zero)'!C11+'Bloomberg Raw Data-5th(No zero)'!D11)/2</f>
        <v>1.62999963760376</v>
      </c>
      <c r="E9" s="300" t="s">
        <v>62</v>
      </c>
      <c r="F9" s="298">
        <v>65</v>
      </c>
      <c r="G9" s="299">
        <f>('Bloomberg Raw Data-5th(No zero)'!J11+'Bloomberg Raw Data-5th(No zero)'!K11)/2</f>
        <v>2.0149998664855948</v>
      </c>
      <c r="H9" s="298">
        <v>101.65</v>
      </c>
      <c r="I9" s="298">
        <v>102</v>
      </c>
      <c r="J9" s="301">
        <f t="shared" si="2"/>
        <v>4.6974999999999996E-2</v>
      </c>
      <c r="K9" s="299">
        <f t="shared" si="3"/>
        <v>3.5714285714285712E-2</v>
      </c>
      <c r="L9" s="299">
        <f t="shared" si="4"/>
        <v>103.6649998664856</v>
      </c>
      <c r="M9" s="299">
        <f t="shared" si="5"/>
        <v>0.99832372845504969</v>
      </c>
      <c r="N9" s="299">
        <f t="shared" si="6"/>
        <v>101.82902030241507</v>
      </c>
      <c r="O9" s="299">
        <f>D9+N9</f>
        <v>103.45901994001883</v>
      </c>
      <c r="P9" s="298" t="str">
        <f t="shared" si="8"/>
        <v>Violated</v>
      </c>
      <c r="Q9" s="299">
        <f t="shared" si="9"/>
        <v>0.20597992646676744</v>
      </c>
      <c r="R9" s="299">
        <f t="shared" si="10"/>
        <v>-0.38500022888183483</v>
      </c>
      <c r="S9" s="299">
        <f t="shared" si="11"/>
        <v>-0.1790203024150685</v>
      </c>
      <c r="T9" s="299">
        <f t="shared" si="12"/>
        <v>-0.20597992646676633</v>
      </c>
      <c r="U9" s="302">
        <f t="shared" si="13"/>
        <v>1.8090199400188283</v>
      </c>
      <c r="V9" s="303" t="str">
        <f t="shared" si="0"/>
        <v>YES</v>
      </c>
      <c r="W9" s="303" t="str">
        <f t="shared" si="1"/>
        <v>NO</v>
      </c>
    </row>
    <row r="10" spans="1:23">
      <c r="A10" s="290" t="s">
        <v>23</v>
      </c>
      <c r="B10" s="199">
        <v>45423</v>
      </c>
      <c r="C10" s="198">
        <v>89</v>
      </c>
      <c r="D10" s="291">
        <f>('Bloomberg Raw Data-5th(No zero)'!C12+'Bloomberg Raw Data-5th(No zero)'!D12)/2</f>
        <v>1.1950001716613801</v>
      </c>
      <c r="E10" s="292" t="s">
        <v>63</v>
      </c>
      <c r="F10" s="198">
        <v>28</v>
      </c>
      <c r="G10" s="291">
        <f>('Bloomberg Raw Data-5th(No zero)'!J12+'Bloomberg Raw Data-5th(No zero)'!K12)/2</f>
        <v>2.58500003814697</v>
      </c>
      <c r="H10" s="198">
        <v>101.65</v>
      </c>
      <c r="I10" s="198">
        <v>103</v>
      </c>
      <c r="J10" s="293">
        <f t="shared" si="2"/>
        <v>4.6974999999999996E-2</v>
      </c>
      <c r="K10" s="291">
        <f t="shared" si="3"/>
        <v>3.5714285714285712E-2</v>
      </c>
      <c r="L10" s="291">
        <f t="shared" si="4"/>
        <v>104.23500003814698</v>
      </c>
      <c r="M10" s="291">
        <f t="shared" si="5"/>
        <v>0.99832372845504969</v>
      </c>
      <c r="N10" s="291">
        <f t="shared" si="6"/>
        <v>102.82734403087012</v>
      </c>
      <c r="O10" s="291">
        <f t="shared" si="7"/>
        <v>104.0223442025315</v>
      </c>
      <c r="P10" s="198" t="str">
        <f t="shared" si="8"/>
        <v>Violated</v>
      </c>
      <c r="Q10" s="291">
        <f t="shared" si="9"/>
        <v>0.21265583561547885</v>
      </c>
      <c r="R10" s="291">
        <f t="shared" si="10"/>
        <v>-1.3899998664855899</v>
      </c>
      <c r="S10" s="291">
        <f t="shared" si="11"/>
        <v>-1.1773440308701169</v>
      </c>
      <c r="T10" s="291">
        <f t="shared" si="12"/>
        <v>-0.21265583561547308</v>
      </c>
      <c r="U10" s="294">
        <f t="shared" si="13"/>
        <v>2.3723442025314938</v>
      </c>
      <c r="V10" s="295" t="str">
        <f t="shared" si="0"/>
        <v>YES</v>
      </c>
      <c r="W10" s="295" t="str">
        <f t="shared" si="1"/>
        <v>NO</v>
      </c>
    </row>
    <row r="11" spans="1:23">
      <c r="A11" s="290" t="s">
        <v>24</v>
      </c>
      <c r="B11" s="199">
        <v>45423</v>
      </c>
      <c r="C11" s="198">
        <v>56</v>
      </c>
      <c r="D11" s="291">
        <f>('Bloomberg Raw Data-5th(No zero)'!C13+'Bloomberg Raw Data-5th(No zero)'!D13)/2</f>
        <v>0.84499999880790755</v>
      </c>
      <c r="E11" s="292" t="s">
        <v>64</v>
      </c>
      <c r="F11" s="198">
        <v>29</v>
      </c>
      <c r="G11" s="291">
        <f>('Bloomberg Raw Data-5th(No zero)'!J13+'Bloomberg Raw Data-5th(No zero)'!K13)/2</f>
        <v>3.2750000953674352</v>
      </c>
      <c r="H11" s="198">
        <v>101.65</v>
      </c>
      <c r="I11" s="198">
        <v>104</v>
      </c>
      <c r="J11" s="293">
        <f t="shared" si="2"/>
        <v>4.6974999999999996E-2</v>
      </c>
      <c r="K11" s="291">
        <f t="shared" si="3"/>
        <v>3.5714285714285712E-2</v>
      </c>
      <c r="L11" s="291">
        <f t="shared" si="4"/>
        <v>104.92500009536744</v>
      </c>
      <c r="M11" s="291">
        <f t="shared" si="5"/>
        <v>0.99832372845504969</v>
      </c>
      <c r="N11" s="291">
        <f t="shared" si="6"/>
        <v>103.82566775932517</v>
      </c>
      <c r="O11" s="291">
        <f t="shared" si="7"/>
        <v>104.67066775813308</v>
      </c>
      <c r="P11" s="198" t="str">
        <f t="shared" si="8"/>
        <v>Violated</v>
      </c>
      <c r="Q11" s="291">
        <f t="shared" si="9"/>
        <v>0.25433233723435933</v>
      </c>
      <c r="R11" s="291">
        <f t="shared" si="10"/>
        <v>-2.4300000965595276</v>
      </c>
      <c r="S11" s="291">
        <f t="shared" si="11"/>
        <v>-2.1756677593251652</v>
      </c>
      <c r="T11" s="291">
        <f t="shared" si="12"/>
        <v>-0.25433233723436244</v>
      </c>
      <c r="U11" s="294">
        <f t="shared" si="13"/>
        <v>3.0206677581330723</v>
      </c>
      <c r="V11" s="295" t="str">
        <f t="shared" si="0"/>
        <v>YES</v>
      </c>
      <c r="W11" s="295" t="str">
        <f t="shared" si="1"/>
        <v>NO</v>
      </c>
    </row>
    <row r="12" spans="1:23">
      <c r="A12" s="290" t="s">
        <v>25</v>
      </c>
      <c r="B12" s="199">
        <v>45423</v>
      </c>
      <c r="C12" s="198">
        <v>660</v>
      </c>
      <c r="D12" s="291">
        <f>('Bloomberg Raw Data-5th(No zero)'!C14+'Bloomberg Raw Data-5th(No zero)'!D14)/2</f>
        <v>0.59000000357627891</v>
      </c>
      <c r="E12" s="292" t="s">
        <v>65</v>
      </c>
      <c r="F12" s="198">
        <v>69</v>
      </c>
      <c r="G12" s="291">
        <f>('Bloomberg Raw Data-5th(No zero)'!J14+'Bloomberg Raw Data-5th(No zero)'!K14)/2</f>
        <v>4</v>
      </c>
      <c r="H12" s="198">
        <v>101.65</v>
      </c>
      <c r="I12" s="198">
        <v>105</v>
      </c>
      <c r="J12" s="293">
        <f t="shared" si="2"/>
        <v>4.6974999999999996E-2</v>
      </c>
      <c r="K12" s="291">
        <f t="shared" si="3"/>
        <v>3.5714285714285712E-2</v>
      </c>
      <c r="L12" s="291">
        <f t="shared" si="4"/>
        <v>105.65</v>
      </c>
      <c r="M12" s="291">
        <f t="shared" si="5"/>
        <v>0.99832372845504969</v>
      </c>
      <c r="N12" s="291">
        <f t="shared" si="6"/>
        <v>104.82399148778022</v>
      </c>
      <c r="O12" s="291">
        <f t="shared" si="7"/>
        <v>105.4139914913565</v>
      </c>
      <c r="P12" s="198" t="str">
        <f t="shared" si="8"/>
        <v>Violated</v>
      </c>
      <c r="Q12" s="291">
        <f t="shared" si="9"/>
        <v>0.23600850864350775</v>
      </c>
      <c r="R12" s="291">
        <f t="shared" si="10"/>
        <v>-3.4099999964237213</v>
      </c>
      <c r="S12" s="291">
        <f t="shared" si="11"/>
        <v>-3.1739914877802136</v>
      </c>
      <c r="T12" s="291">
        <f t="shared" si="12"/>
        <v>-0.23600850864350775</v>
      </c>
      <c r="U12" s="294">
        <f t="shared" si="13"/>
        <v>3.7639914913564922</v>
      </c>
      <c r="V12" s="295" t="str">
        <f t="shared" si="0"/>
        <v>YES</v>
      </c>
      <c r="W12" s="295" t="str">
        <f t="shared" si="1"/>
        <v>NO</v>
      </c>
    </row>
    <row r="13" spans="1:23">
      <c r="A13" s="290" t="s">
        <v>26</v>
      </c>
      <c r="B13" s="199">
        <v>45423</v>
      </c>
      <c r="C13" s="198">
        <v>107</v>
      </c>
      <c r="D13" s="291">
        <f>('Bloomberg Raw Data-5th(No zero)'!C15+'Bloomberg Raw Data-5th(No zero)'!D15)/2</f>
        <v>0.40500000119209245</v>
      </c>
      <c r="E13" s="292" t="s">
        <v>66</v>
      </c>
      <c r="F13" s="198">
        <v>11</v>
      </c>
      <c r="G13" s="291">
        <f>('Bloomberg Raw Data-5th(No zero)'!J15+'Bloomberg Raw Data-5th(No zero)'!K15)/2</f>
        <v>4.8500003814697248</v>
      </c>
      <c r="H13" s="198">
        <v>101.65</v>
      </c>
      <c r="I13" s="198">
        <v>106</v>
      </c>
      <c r="J13" s="293">
        <f t="shared" si="2"/>
        <v>4.6974999999999996E-2</v>
      </c>
      <c r="K13" s="291">
        <f t="shared" si="3"/>
        <v>3.5714285714285712E-2</v>
      </c>
      <c r="L13" s="291">
        <f t="shared" si="4"/>
        <v>106.50000038146973</v>
      </c>
      <c r="M13" s="291">
        <f t="shared" si="5"/>
        <v>0.99832372845504969</v>
      </c>
      <c r="N13" s="291">
        <f t="shared" si="6"/>
        <v>105.82231521623527</v>
      </c>
      <c r="O13" s="291">
        <f t="shared" si="7"/>
        <v>106.22731521742736</v>
      </c>
      <c r="P13" s="198" t="str">
        <f t="shared" si="8"/>
        <v>Violated</v>
      </c>
      <c r="Q13" s="291">
        <f t="shared" si="9"/>
        <v>0.27268516404237175</v>
      </c>
      <c r="R13" s="291">
        <f t="shared" si="10"/>
        <v>-4.4450003802776319</v>
      </c>
      <c r="S13" s="291">
        <f t="shared" si="11"/>
        <v>-4.1723152162352619</v>
      </c>
      <c r="T13" s="291">
        <f t="shared" si="12"/>
        <v>-0.27268516404236998</v>
      </c>
      <c r="U13" s="294">
        <f t="shared" si="13"/>
        <v>4.5773152174273548</v>
      </c>
      <c r="V13" s="295" t="str">
        <f t="shared" si="0"/>
        <v>YES</v>
      </c>
      <c r="W13" s="295" t="str">
        <f t="shared" si="1"/>
        <v>NO</v>
      </c>
    </row>
    <row r="14" spans="1:23">
      <c r="A14" s="290" t="s">
        <v>27</v>
      </c>
      <c r="B14" s="199">
        <v>45423</v>
      </c>
      <c r="C14" s="198">
        <v>36</v>
      </c>
      <c r="D14" s="291">
        <f>('Bloomberg Raw Data-5th(No zero)'!C16+'Bloomberg Raw Data-5th(No zero)'!D16)/2</f>
        <v>0.26500001549720753</v>
      </c>
      <c r="E14" s="292" t="s">
        <v>67</v>
      </c>
      <c r="F14" s="198">
        <v>6</v>
      </c>
      <c r="G14" s="291">
        <f>('Bloomberg Raw Data-5th(No zero)'!J16+'Bloomberg Raw Data-5th(No zero)'!K16)/2</f>
        <v>5.7250003814697248</v>
      </c>
      <c r="H14" s="198">
        <v>101.65</v>
      </c>
      <c r="I14" s="198">
        <v>107</v>
      </c>
      <c r="J14" s="293">
        <f t="shared" si="2"/>
        <v>4.6974999999999996E-2</v>
      </c>
      <c r="K14" s="291">
        <f t="shared" si="3"/>
        <v>3.5714285714285712E-2</v>
      </c>
      <c r="L14" s="291">
        <f t="shared" si="4"/>
        <v>107.37500038146973</v>
      </c>
      <c r="M14" s="291">
        <f t="shared" si="5"/>
        <v>0.99832372845504969</v>
      </c>
      <c r="N14" s="291">
        <f t="shared" si="6"/>
        <v>106.82063894469032</v>
      </c>
      <c r="O14" s="291">
        <f t="shared" si="7"/>
        <v>107.08563896018752</v>
      </c>
      <c r="P14" s="198" t="str">
        <f t="shared" si="8"/>
        <v>Violated</v>
      </c>
      <c r="Q14" s="291">
        <f t="shared" si="9"/>
        <v>0.28936142128220865</v>
      </c>
      <c r="R14" s="291">
        <f t="shared" si="10"/>
        <v>-5.4600003659725171</v>
      </c>
      <c r="S14" s="291">
        <f t="shared" si="11"/>
        <v>-5.1706389446903103</v>
      </c>
      <c r="T14" s="291">
        <f t="shared" si="12"/>
        <v>-0.28936142128220688</v>
      </c>
      <c r="U14" s="294">
        <f t="shared" si="13"/>
        <v>5.4356389601875179</v>
      </c>
      <c r="V14" s="295" t="str">
        <f t="shared" si="0"/>
        <v>YES</v>
      </c>
      <c r="W14" s="295" t="str">
        <f t="shared" si="1"/>
        <v>NO</v>
      </c>
    </row>
    <row r="15" spans="1:23">
      <c r="A15" s="290" t="s">
        <v>28</v>
      </c>
      <c r="B15" s="199">
        <v>45423</v>
      </c>
      <c r="C15" s="198">
        <v>114</v>
      </c>
      <c r="D15" s="291">
        <f>('Bloomberg Raw Data-5th(No zero)'!C17+'Bloomberg Raw Data-5th(No zero)'!D17)/2</f>
        <v>0.10500001907348655</v>
      </c>
      <c r="E15" s="292" t="s">
        <v>68</v>
      </c>
      <c r="F15" s="198">
        <v>143</v>
      </c>
      <c r="G15" s="291">
        <f>('Bloomberg Raw Data-5th(No zero)'!J17+'Bloomberg Raw Data-5th(No zero)'!K17)/2</f>
        <v>8.5999999046325701</v>
      </c>
      <c r="H15" s="198">
        <v>101.65</v>
      </c>
      <c r="I15" s="198">
        <v>110</v>
      </c>
      <c r="J15" s="293">
        <f t="shared" si="2"/>
        <v>4.6974999999999996E-2</v>
      </c>
      <c r="K15" s="291">
        <f t="shared" si="3"/>
        <v>3.5714285714285712E-2</v>
      </c>
      <c r="L15" s="291">
        <f t="shared" si="4"/>
        <v>110.24999990463257</v>
      </c>
      <c r="M15" s="291">
        <f t="shared" si="5"/>
        <v>0.99832372845504969</v>
      </c>
      <c r="N15" s="291">
        <f t="shared" si="6"/>
        <v>109.81561013005546</v>
      </c>
      <c r="O15" s="291">
        <f t="shared" si="7"/>
        <v>109.92061014912895</v>
      </c>
      <c r="P15" s="198" t="str">
        <f t="shared" si="8"/>
        <v>Violated</v>
      </c>
      <c r="Q15" s="291">
        <f t="shared" si="9"/>
        <v>0.3293897555036267</v>
      </c>
      <c r="R15" s="291">
        <f t="shared" si="10"/>
        <v>-8.4949998855590838</v>
      </c>
      <c r="S15" s="291">
        <f t="shared" si="11"/>
        <v>-8.1656101300554553</v>
      </c>
      <c r="T15" s="291">
        <f t="shared" si="12"/>
        <v>-0.32938975550362848</v>
      </c>
      <c r="U15" s="294">
        <f t="shared" si="13"/>
        <v>8.2706101491289417</v>
      </c>
      <c r="V15" s="295" t="str">
        <f t="shared" si="0"/>
        <v>YES</v>
      </c>
      <c r="W15" s="295" t="str">
        <f t="shared" si="1"/>
        <v>NO</v>
      </c>
    </row>
    <row r="16" spans="1:23">
      <c r="A16" s="290" t="s">
        <v>29</v>
      </c>
      <c r="B16" s="199">
        <v>45423</v>
      </c>
      <c r="C16" s="198">
        <v>30</v>
      </c>
      <c r="D16" s="291">
        <f>('Bloomberg Raw Data-5th(No zero)'!C18+'Bloomberg Raw Data-5th(No zero)'!D18)/2</f>
        <v>7.0000002160668595E-2</v>
      </c>
      <c r="E16" s="292" t="s">
        <v>69</v>
      </c>
      <c r="F16" s="198">
        <v>30</v>
      </c>
      <c r="G16" s="291">
        <f>('Bloomberg Raw Data-5th(No zero)'!J18+'Bloomberg Raw Data-5th(No zero)'!K18)/2</f>
        <v>12.5499997138977</v>
      </c>
      <c r="H16" s="198">
        <v>101.65</v>
      </c>
      <c r="I16" s="198">
        <v>114</v>
      </c>
      <c r="J16" s="293">
        <f t="shared" si="2"/>
        <v>4.6974999999999996E-2</v>
      </c>
      <c r="K16" s="291">
        <f t="shared" si="3"/>
        <v>3.5714285714285712E-2</v>
      </c>
      <c r="L16" s="291">
        <f t="shared" si="4"/>
        <v>114.19999971389771</v>
      </c>
      <c r="M16" s="291">
        <f t="shared" si="5"/>
        <v>0.99832372845504969</v>
      </c>
      <c r="N16" s="291">
        <f t="shared" si="6"/>
        <v>113.80890504387567</v>
      </c>
      <c r="O16" s="291">
        <f t="shared" si="7"/>
        <v>113.87890504603634</v>
      </c>
      <c r="P16" s="198" t="str">
        <f t="shared" si="8"/>
        <v>Violated</v>
      </c>
      <c r="Q16" s="291">
        <f t="shared" si="9"/>
        <v>0.32109466786137375</v>
      </c>
      <c r="R16" s="291">
        <f t="shared" si="10"/>
        <v>-12.479999711737031</v>
      </c>
      <c r="S16" s="291">
        <f t="shared" si="11"/>
        <v>-12.158905043875663</v>
      </c>
      <c r="T16" s="291">
        <f t="shared" si="12"/>
        <v>-0.32109466786136842</v>
      </c>
      <c r="U16" s="294">
        <f t="shared" si="13"/>
        <v>12.228905046036331</v>
      </c>
      <c r="V16" s="295" t="str">
        <f t="shared" si="0"/>
        <v>YES</v>
      </c>
      <c r="W16" s="295" t="str">
        <f t="shared" si="1"/>
        <v>NO</v>
      </c>
    </row>
    <row r="17" spans="1:23">
      <c r="A17" s="290" t="s">
        <v>30</v>
      </c>
      <c r="B17" s="199">
        <v>45423</v>
      </c>
      <c r="C17" s="198">
        <v>10</v>
      </c>
      <c r="D17" s="291">
        <f>('Bloomberg Raw Data-5th(No zero)'!C19+'Bloomberg Raw Data-5th(No zero)'!D19)/2</f>
        <v>1.999999955296515E-2</v>
      </c>
      <c r="E17" s="292" t="s">
        <v>70</v>
      </c>
      <c r="F17" s="198">
        <v>4</v>
      </c>
      <c r="G17" s="291">
        <f>('Bloomberg Raw Data-5th(No zero)'!J19+'Bloomberg Raw Data-5th(No zero)'!K19)/2</f>
        <v>28.8999938964844</v>
      </c>
      <c r="H17" s="198">
        <v>101.65</v>
      </c>
      <c r="I17" s="198">
        <v>130</v>
      </c>
      <c r="J17" s="293">
        <f t="shared" si="2"/>
        <v>4.6974999999999996E-2</v>
      </c>
      <c r="K17" s="291">
        <f t="shared" si="3"/>
        <v>3.5714285714285712E-2</v>
      </c>
      <c r="L17" s="291">
        <f t="shared" si="4"/>
        <v>130.54999389648441</v>
      </c>
      <c r="M17" s="291">
        <f t="shared" si="5"/>
        <v>0.99832372845504969</v>
      </c>
      <c r="N17" s="291">
        <f t="shared" si="6"/>
        <v>129.78208469915646</v>
      </c>
      <c r="O17" s="291">
        <f t="shared" si="7"/>
        <v>129.80208469870942</v>
      </c>
      <c r="P17" s="198" t="str">
        <f t="shared" si="8"/>
        <v>Violated</v>
      </c>
      <c r="Q17" s="291">
        <f t="shared" si="9"/>
        <v>0.74790919777498743</v>
      </c>
      <c r="R17" s="291">
        <f t="shared" si="10"/>
        <v>-28.879993896931435</v>
      </c>
      <c r="S17" s="291">
        <f t="shared" si="11"/>
        <v>-28.132084699156451</v>
      </c>
      <c r="T17" s="291">
        <f t="shared" si="12"/>
        <v>-0.74790919777498388</v>
      </c>
      <c r="U17" s="294">
        <f t="shared" si="13"/>
        <v>28.152084698709416</v>
      </c>
      <c r="V17" s="295" t="str">
        <f t="shared" si="0"/>
        <v>YES</v>
      </c>
      <c r="W17" s="295" t="str">
        <f t="shared" si="1"/>
        <v>NO</v>
      </c>
    </row>
    <row r="20" spans="1:23" ht="17.45">
      <c r="A20" s="304" t="s">
        <v>71</v>
      </c>
    </row>
    <row r="22" spans="1:23">
      <c r="A22" s="305" t="s">
        <v>72</v>
      </c>
      <c r="B22" s="351" t="s">
        <v>73</v>
      </c>
      <c r="C22" s="351"/>
      <c r="D22" s="305" t="s">
        <v>74</v>
      </c>
      <c r="E22" s="277"/>
      <c r="F22" s="305" t="s">
        <v>72</v>
      </c>
      <c r="G22" s="351" t="s">
        <v>73</v>
      </c>
      <c r="H22" s="351"/>
      <c r="I22" s="305" t="s">
        <v>74</v>
      </c>
      <c r="J22" s="277"/>
      <c r="K22" s="277"/>
      <c r="L22" s="352" t="s">
        <v>75</v>
      </c>
      <c r="M22" s="353"/>
      <c r="N22" s="353"/>
      <c r="O22" s="354"/>
      <c r="P22" s="277"/>
    </row>
    <row r="23" spans="1:23" ht="50.45" customHeight="1">
      <c r="A23" s="306" t="s">
        <v>76</v>
      </c>
      <c r="B23" s="355" t="s">
        <v>77</v>
      </c>
      <c r="C23" s="355"/>
      <c r="D23" s="307" t="s">
        <v>78</v>
      </c>
      <c r="E23" s="277"/>
      <c r="F23" s="308" t="s">
        <v>79</v>
      </c>
      <c r="G23" s="356"/>
      <c r="H23" s="357"/>
      <c r="I23" s="309"/>
      <c r="J23" s="277"/>
      <c r="K23" s="277"/>
      <c r="L23" s="358" t="s">
        <v>80</v>
      </c>
      <c r="M23" s="359" t="s">
        <v>81</v>
      </c>
      <c r="N23" s="360"/>
      <c r="O23" s="361"/>
      <c r="P23" s="277"/>
    </row>
    <row r="24" spans="1:23" ht="36.6" customHeight="1">
      <c r="A24" s="310"/>
      <c r="B24" s="356"/>
      <c r="C24" s="357"/>
      <c r="D24" s="310"/>
      <c r="E24" s="277"/>
      <c r="F24" s="311" t="s">
        <v>82</v>
      </c>
      <c r="G24" s="362" t="s">
        <v>83</v>
      </c>
      <c r="H24" s="363"/>
      <c r="I24" s="366" t="s">
        <v>84</v>
      </c>
      <c r="J24" s="277"/>
      <c r="K24" s="277"/>
      <c r="L24" s="358"/>
      <c r="M24" s="368" t="s">
        <v>85</v>
      </c>
      <c r="N24" s="360"/>
      <c r="O24" s="361"/>
      <c r="P24" s="277"/>
    </row>
    <row r="25" spans="1:23" ht="35.450000000000003" customHeight="1">
      <c r="A25" s="369" t="s">
        <v>86</v>
      </c>
      <c r="B25" s="370" t="s">
        <v>87</v>
      </c>
      <c r="C25" s="370"/>
      <c r="D25" s="312">
        <f>D9</f>
        <v>1.62999963760376</v>
      </c>
      <c r="E25" s="277"/>
      <c r="F25" s="313" t="s">
        <v>88</v>
      </c>
      <c r="G25" s="364"/>
      <c r="H25" s="365"/>
      <c r="I25" s="367"/>
      <c r="J25" s="277"/>
      <c r="K25" s="277"/>
      <c r="L25" s="358"/>
      <c r="M25" s="359" t="s">
        <v>89</v>
      </c>
      <c r="N25" s="360"/>
      <c r="O25" s="361"/>
      <c r="P25" s="277"/>
    </row>
    <row r="26" spans="1:23" ht="26.45" customHeight="1">
      <c r="A26" s="369"/>
      <c r="B26" s="370" t="s">
        <v>90</v>
      </c>
      <c r="C26" s="370"/>
      <c r="D26" s="312">
        <f>G9</f>
        <v>2.0149998664855948</v>
      </c>
      <c r="E26" s="277"/>
      <c r="F26" s="371" t="s">
        <v>91</v>
      </c>
      <c r="G26" s="372" t="s">
        <v>92</v>
      </c>
      <c r="H26" s="373"/>
      <c r="I26" s="310"/>
      <c r="J26" s="277"/>
      <c r="K26" s="277"/>
      <c r="L26" s="358"/>
      <c r="M26" s="368" t="s">
        <v>93</v>
      </c>
      <c r="N26" s="360"/>
      <c r="O26" s="361"/>
      <c r="P26" s="277"/>
    </row>
    <row r="27" spans="1:23" ht="15">
      <c r="A27" s="369"/>
      <c r="B27" s="370" t="s">
        <v>94</v>
      </c>
      <c r="C27" s="370"/>
      <c r="D27" s="314">
        <f>H9</f>
        <v>101.65</v>
      </c>
      <c r="E27" s="277"/>
      <c r="F27" s="371"/>
      <c r="G27" s="374" t="s">
        <v>95</v>
      </c>
      <c r="H27" s="375"/>
      <c r="I27" s="315">
        <f>-D9</f>
        <v>-1.62999963760376</v>
      </c>
      <c r="J27" s="277"/>
      <c r="K27" s="277"/>
      <c r="L27" s="277"/>
      <c r="M27" s="277"/>
      <c r="N27" s="277"/>
      <c r="O27" s="277"/>
      <c r="P27" s="277"/>
    </row>
    <row r="28" spans="1:23" ht="15">
      <c r="A28" s="369"/>
      <c r="B28" s="370" t="s">
        <v>96</v>
      </c>
      <c r="C28" s="370"/>
      <c r="D28" s="316">
        <f>I9</f>
        <v>102</v>
      </c>
      <c r="E28" s="277"/>
      <c r="F28" s="371"/>
      <c r="G28" s="374" t="s">
        <v>97</v>
      </c>
      <c r="H28" s="375"/>
      <c r="I28" s="317">
        <f>G9</f>
        <v>2.0149998664855948</v>
      </c>
      <c r="J28" s="277"/>
      <c r="K28" s="277"/>
      <c r="L28" s="277"/>
      <c r="M28" s="277"/>
      <c r="N28" s="277"/>
      <c r="O28" s="277"/>
      <c r="P28" s="277"/>
    </row>
    <row r="29" spans="1:23" ht="15">
      <c r="A29" s="369"/>
      <c r="B29" s="370" t="s">
        <v>98</v>
      </c>
      <c r="C29" s="370"/>
      <c r="D29" s="318">
        <f>J4</f>
        <v>4.6974999999999996E-2</v>
      </c>
      <c r="E29" s="277"/>
      <c r="F29" s="371"/>
      <c r="G29" s="374" t="s">
        <v>99</v>
      </c>
      <c r="H29" s="375"/>
      <c r="I29" s="319">
        <v>101.65</v>
      </c>
      <c r="J29" s="320"/>
      <c r="K29" s="277"/>
      <c r="L29" s="277"/>
      <c r="M29" s="277"/>
      <c r="N29" s="277"/>
      <c r="O29" s="277"/>
      <c r="P29" s="277"/>
    </row>
    <row r="30" spans="1:23" ht="15">
      <c r="A30" s="369"/>
      <c r="B30" s="370" t="s">
        <v>100</v>
      </c>
      <c r="C30" s="370"/>
      <c r="D30" s="321">
        <f>9/252</f>
        <v>3.5714285714285712E-2</v>
      </c>
      <c r="E30" s="277"/>
      <c r="F30" s="371"/>
      <c r="G30" s="374" t="s">
        <v>101</v>
      </c>
      <c r="H30" s="375"/>
      <c r="I30" s="315">
        <f>-N9</f>
        <v>-101.82902030241507</v>
      </c>
      <c r="J30" s="277"/>
      <c r="K30" s="277"/>
      <c r="L30" s="277"/>
      <c r="M30" s="277"/>
      <c r="N30" s="277"/>
      <c r="O30" s="277"/>
      <c r="P30" s="277"/>
    </row>
    <row r="31" spans="1:23" ht="15">
      <c r="A31" s="369"/>
      <c r="B31" s="370" t="s">
        <v>102</v>
      </c>
      <c r="C31" s="370"/>
      <c r="D31" s="314">
        <v>2.7182810000000002</v>
      </c>
      <c r="E31" s="277"/>
      <c r="F31" s="310"/>
      <c r="G31" s="383" t="s">
        <v>103</v>
      </c>
      <c r="H31" s="384"/>
      <c r="I31" s="322">
        <f>SUM(I27:I30)</f>
        <v>0.20597992646676744</v>
      </c>
      <c r="J31" s="277"/>
      <c r="K31" s="277"/>
      <c r="L31" s="277"/>
      <c r="M31" s="277"/>
      <c r="N31" s="277"/>
      <c r="O31" s="277"/>
      <c r="P31" s="277"/>
    </row>
    <row r="32" spans="1:23" ht="15">
      <c r="A32" s="323" t="s">
        <v>104</v>
      </c>
      <c r="B32" s="385" t="s">
        <v>105</v>
      </c>
      <c r="C32" s="386"/>
      <c r="D32" s="324">
        <f>D28*D31^(-D29*D30)</f>
        <v>101.82902030241507</v>
      </c>
      <c r="E32" s="277"/>
      <c r="F32" s="310"/>
      <c r="G32" s="356"/>
      <c r="H32" s="357"/>
      <c r="I32" s="310"/>
      <c r="J32" s="277"/>
      <c r="K32" s="277"/>
      <c r="L32" s="277"/>
      <c r="M32" s="277"/>
      <c r="N32" s="277"/>
      <c r="O32" s="277"/>
      <c r="P32" s="277"/>
    </row>
    <row r="33" spans="1:16" ht="15.6">
      <c r="A33" s="310"/>
      <c r="B33" s="356"/>
      <c r="C33" s="357"/>
      <c r="D33" s="325" t="s">
        <v>106</v>
      </c>
      <c r="E33" s="277"/>
      <c r="F33" s="326" t="s">
        <v>107</v>
      </c>
      <c r="G33" s="379">
        <f>'Bloomberg Raw Data-5th(No zero)'!I54</f>
        <v>96.31</v>
      </c>
      <c r="H33" s="380"/>
      <c r="I33" s="310"/>
      <c r="J33" s="277"/>
      <c r="K33" s="277"/>
      <c r="L33" s="277"/>
      <c r="M33" s="277"/>
      <c r="N33" s="277"/>
      <c r="O33" s="277"/>
      <c r="P33" s="277"/>
    </row>
    <row r="34" spans="1:16" ht="15">
      <c r="A34" s="253" t="s">
        <v>108</v>
      </c>
      <c r="B34" s="381" t="s">
        <v>109</v>
      </c>
      <c r="C34" s="381"/>
      <c r="D34" s="327">
        <f>D25-D26</f>
        <v>-0.38500022888183483</v>
      </c>
      <c r="E34" s="277"/>
      <c r="F34" s="310"/>
      <c r="G34" s="376" t="s">
        <v>110</v>
      </c>
      <c r="H34" s="377"/>
      <c r="I34" s="328">
        <f>I31</f>
        <v>0.20597992646676744</v>
      </c>
      <c r="J34" s="277"/>
      <c r="K34" s="277"/>
      <c r="L34" s="277"/>
      <c r="M34" s="277"/>
      <c r="N34" s="277"/>
      <c r="O34" s="277"/>
      <c r="P34" s="277"/>
    </row>
    <row r="35" spans="1:16" ht="15.6" customHeight="1">
      <c r="A35" s="253" t="s">
        <v>111</v>
      </c>
      <c r="B35" s="381" t="s">
        <v>112</v>
      </c>
      <c r="C35" s="381"/>
      <c r="D35" s="327">
        <f>S9</f>
        <v>-0.1790203024150685</v>
      </c>
      <c r="E35" s="277"/>
      <c r="F35" s="338" t="s">
        <v>113</v>
      </c>
      <c r="G35" s="339"/>
      <c r="H35" s="339"/>
      <c r="I35" s="340"/>
      <c r="J35" s="277"/>
      <c r="K35" s="277"/>
      <c r="L35" s="277"/>
      <c r="M35" s="277"/>
      <c r="N35" s="277"/>
      <c r="O35" s="277"/>
      <c r="P35" s="277"/>
    </row>
    <row r="36" spans="1:16" ht="15.6" customHeight="1">
      <c r="A36" s="253" t="s">
        <v>114</v>
      </c>
      <c r="B36" s="381" t="s">
        <v>115</v>
      </c>
      <c r="C36" s="381"/>
      <c r="D36" s="327">
        <f>D34-D35</f>
        <v>-0.20597992646676633</v>
      </c>
      <c r="E36" s="277"/>
      <c r="F36" s="341"/>
      <c r="G36" s="342"/>
      <c r="H36" s="342"/>
      <c r="I36" s="343"/>
      <c r="J36" s="277"/>
      <c r="K36" s="277"/>
      <c r="L36" s="277"/>
      <c r="M36" s="277"/>
      <c r="N36" s="277"/>
      <c r="O36" s="277"/>
      <c r="P36" s="277"/>
    </row>
    <row r="37" spans="1:16" ht="15.6">
      <c r="A37" s="310"/>
      <c r="B37" s="382"/>
      <c r="C37" s="382"/>
      <c r="D37" s="309" t="s">
        <v>116</v>
      </c>
      <c r="E37" s="277"/>
      <c r="F37" s="341"/>
      <c r="G37" s="342"/>
      <c r="H37" s="342"/>
      <c r="I37" s="343"/>
      <c r="J37" s="277"/>
      <c r="K37" s="277"/>
      <c r="L37" s="277"/>
      <c r="M37" s="277"/>
      <c r="N37" s="277"/>
      <c r="O37" s="277"/>
      <c r="P37" s="277"/>
    </row>
    <row r="38" spans="1:16" ht="15.6">
      <c r="A38" s="329"/>
      <c r="B38" s="330"/>
      <c r="C38" s="330"/>
      <c r="D38" s="331"/>
      <c r="E38" s="277"/>
      <c r="F38" s="341"/>
      <c r="G38" s="342"/>
      <c r="H38" s="342"/>
      <c r="I38" s="343"/>
      <c r="J38" s="277"/>
      <c r="K38" s="277"/>
      <c r="L38" s="277"/>
      <c r="M38" s="277"/>
      <c r="N38" s="277"/>
      <c r="O38" s="277"/>
      <c r="P38" s="277"/>
    </row>
    <row r="39" spans="1:16" ht="14.45" customHeight="1">
      <c r="A39" s="277"/>
      <c r="B39" s="277"/>
      <c r="C39" s="277"/>
      <c r="D39" s="277"/>
      <c r="E39" s="277"/>
      <c r="F39" s="341"/>
      <c r="G39" s="342"/>
      <c r="H39" s="342"/>
      <c r="I39" s="343"/>
      <c r="J39" s="277"/>
      <c r="K39" s="277"/>
      <c r="L39" s="277"/>
      <c r="M39" s="277"/>
      <c r="N39" s="277"/>
      <c r="O39" s="277"/>
      <c r="P39" s="277"/>
    </row>
    <row r="40" spans="1:16" ht="14.45" customHeight="1">
      <c r="A40" s="277"/>
      <c r="B40" s="277"/>
      <c r="C40" s="277"/>
      <c r="D40" s="277"/>
      <c r="E40" s="277"/>
      <c r="F40" s="344"/>
      <c r="G40" s="345"/>
      <c r="H40" s="345"/>
      <c r="I40" s="346"/>
      <c r="J40" s="277"/>
      <c r="K40" s="277"/>
      <c r="L40" s="277"/>
      <c r="M40" s="277"/>
      <c r="N40" s="277"/>
      <c r="O40" s="277"/>
      <c r="P40" s="277"/>
    </row>
    <row r="41" spans="1:16">
      <c r="A41" s="277"/>
      <c r="B41" s="277"/>
      <c r="C41" s="277"/>
      <c r="D41" s="277"/>
      <c r="E41" s="277"/>
      <c r="F41" s="323"/>
      <c r="G41" s="376" t="s">
        <v>110</v>
      </c>
      <c r="H41" s="377"/>
      <c r="I41" s="332">
        <f>I31</f>
        <v>0.20597992646676744</v>
      </c>
      <c r="J41" s="277"/>
      <c r="K41" s="277"/>
      <c r="L41" s="277"/>
      <c r="M41" s="277"/>
      <c r="N41" s="277"/>
      <c r="O41" s="277"/>
      <c r="P41" s="277"/>
    </row>
    <row r="42" spans="1:16">
      <c r="A42" s="333" t="s">
        <v>117</v>
      </c>
    </row>
    <row r="44" spans="1:16">
      <c r="A44" s="334" t="s">
        <v>118</v>
      </c>
      <c r="B44" s="334" t="s">
        <v>119</v>
      </c>
    </row>
    <row r="45" spans="1:16">
      <c r="A45" s="347" t="s">
        <v>120</v>
      </c>
      <c r="B45" s="335" t="s">
        <v>121</v>
      </c>
    </row>
    <row r="46" spans="1:16">
      <c r="A46" s="348"/>
      <c r="B46" s="335" t="s">
        <v>122</v>
      </c>
    </row>
    <row r="47" spans="1:16">
      <c r="A47" s="348"/>
      <c r="B47" s="335" t="s">
        <v>123</v>
      </c>
    </row>
    <row r="48" spans="1:16">
      <c r="A48" s="348"/>
      <c r="B48" s="335" t="s">
        <v>124</v>
      </c>
    </row>
    <row r="49" spans="1:2">
      <c r="A49" s="348"/>
      <c r="B49" s="335" t="s">
        <v>125</v>
      </c>
    </row>
    <row r="50" spans="1:2" ht="41.45">
      <c r="A50" s="349"/>
      <c r="B50" s="336" t="s">
        <v>126</v>
      </c>
    </row>
    <row r="51" spans="1:2">
      <c r="A51" s="347" t="s">
        <v>127</v>
      </c>
      <c r="B51" s="335" t="s">
        <v>128</v>
      </c>
    </row>
    <row r="52" spans="1:2">
      <c r="A52" s="348"/>
      <c r="B52" s="335" t="s">
        <v>129</v>
      </c>
    </row>
    <row r="53" spans="1:2">
      <c r="A53" s="348"/>
      <c r="B53" s="335" t="s">
        <v>130</v>
      </c>
    </row>
    <row r="54" spans="1:2">
      <c r="A54" s="348"/>
      <c r="B54" s="335" t="s">
        <v>131</v>
      </c>
    </row>
    <row r="55" spans="1:2">
      <c r="A55" s="348"/>
      <c r="B55" s="335" t="s">
        <v>132</v>
      </c>
    </row>
    <row r="56" spans="1:2" ht="41.45">
      <c r="A56" s="349"/>
      <c r="B56" s="336" t="s">
        <v>133</v>
      </c>
    </row>
  </sheetData>
  <mergeCells count="43">
    <mergeCell ref="G41:H41"/>
    <mergeCell ref="A1:D1"/>
    <mergeCell ref="B33:C33"/>
    <mergeCell ref="G33:H33"/>
    <mergeCell ref="B34:C34"/>
    <mergeCell ref="G34:H34"/>
    <mergeCell ref="B35:C35"/>
    <mergeCell ref="B36:C36"/>
    <mergeCell ref="B37:C37"/>
    <mergeCell ref="B30:C30"/>
    <mergeCell ref="G30:H30"/>
    <mergeCell ref="B31:C31"/>
    <mergeCell ref="G31:H31"/>
    <mergeCell ref="B32:C32"/>
    <mergeCell ref="G32:H32"/>
    <mergeCell ref="B27:C27"/>
    <mergeCell ref="B25:C25"/>
    <mergeCell ref="M25:O25"/>
    <mergeCell ref="B26:C26"/>
    <mergeCell ref="F26:F30"/>
    <mergeCell ref="G26:H26"/>
    <mergeCell ref="M26:O26"/>
    <mergeCell ref="G27:H27"/>
    <mergeCell ref="B28:C28"/>
    <mergeCell ref="G28:H28"/>
    <mergeCell ref="B29:C29"/>
    <mergeCell ref="G29:H29"/>
    <mergeCell ref="F35:I40"/>
    <mergeCell ref="A45:A50"/>
    <mergeCell ref="A51:A56"/>
    <mergeCell ref="V2:W2"/>
    <mergeCell ref="B22:C22"/>
    <mergeCell ref="G22:H22"/>
    <mergeCell ref="L22:O22"/>
    <mergeCell ref="B23:C23"/>
    <mergeCell ref="G23:H23"/>
    <mergeCell ref="L23:L26"/>
    <mergeCell ref="M23:O23"/>
    <mergeCell ref="B24:C24"/>
    <mergeCell ref="G24:H25"/>
    <mergeCell ref="I24:I25"/>
    <mergeCell ref="M24:O24"/>
    <mergeCell ref="A25:A31"/>
  </mergeCells>
  <hyperlinks>
    <hyperlink ref="D29" r:id="rId1" display="https://fred.stlouisfed.org/series/DGS1MO" xr:uid="{049B343F-00B9-479B-8864-386C7276A966}"/>
  </hyperlinks>
  <pageMargins left="0.7" right="0.7" top="0.75" bottom="0.75" header="0.3" footer="0.3"/>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F5B98-7F82-4D1B-89B6-8B3CF58F2E2A}">
  <dimension ref="A2:AI59"/>
  <sheetViews>
    <sheetView showGridLines="0" topLeftCell="N1" zoomScale="70" workbookViewId="0">
      <selection activeCell="X11" sqref="X11"/>
    </sheetView>
  </sheetViews>
  <sheetFormatPr defaultColWidth="8.85546875" defaultRowHeight="13.15"/>
  <cols>
    <col min="1" max="1" width="2.85546875" style="105" customWidth="1"/>
    <col min="2" max="2" width="21.140625" style="105" bestFit="1" customWidth="1"/>
    <col min="3" max="3" width="17.28515625" style="105" bestFit="1" customWidth="1"/>
    <col min="4" max="4" width="13.42578125" style="105" customWidth="1"/>
    <col min="5" max="5" width="15.140625" style="105" customWidth="1"/>
    <col min="6" max="6" width="10.42578125" style="105" bestFit="1" customWidth="1"/>
    <col min="7" max="7" width="14.28515625" style="105" bestFit="1" customWidth="1"/>
    <col min="8" max="8" width="14.5703125" style="105" bestFit="1" customWidth="1"/>
    <col min="9" max="9" width="14.5703125" style="105" customWidth="1"/>
    <col min="10" max="10" width="18.7109375" style="105" customWidth="1"/>
    <col min="11" max="11" width="18.7109375" style="105" bestFit="1" customWidth="1"/>
    <col min="12" max="12" width="16" style="105" bestFit="1" customWidth="1"/>
    <col min="13" max="13" width="19" style="105" bestFit="1" customWidth="1"/>
    <col min="14" max="20" width="17" style="105" customWidth="1"/>
    <col min="21" max="21" width="66.42578125" style="105" bestFit="1" customWidth="1"/>
    <col min="22" max="22" width="29.5703125" style="105" bestFit="1" customWidth="1"/>
    <col min="23" max="23" width="6" style="105" bestFit="1" customWidth="1"/>
    <col min="24" max="24" width="53.28515625" style="105" customWidth="1"/>
    <col min="25" max="25" width="30.85546875" style="105" customWidth="1"/>
    <col min="26" max="26" width="62.42578125" style="105" bestFit="1" customWidth="1"/>
    <col min="27" max="27" width="8.85546875" style="105" customWidth="1"/>
    <col min="28" max="28" width="24.7109375" style="105" customWidth="1"/>
    <col min="29" max="29" width="29.7109375" style="105" bestFit="1" customWidth="1"/>
    <col min="30" max="30" width="19.7109375" style="105" customWidth="1"/>
    <col min="31" max="31" width="8.85546875" style="105"/>
    <col min="32" max="32" width="18.85546875" style="105" bestFit="1" customWidth="1"/>
    <col min="33" max="33" width="8.85546875" style="105" customWidth="1"/>
    <col min="34" max="34" width="27.5703125" style="105" customWidth="1"/>
    <col min="35" max="35" width="105.5703125" style="105" customWidth="1"/>
    <col min="36" max="16384" width="8.85546875" style="105"/>
  </cols>
  <sheetData>
    <row r="2" spans="1:35" ht="27.6">
      <c r="A2" s="151"/>
      <c r="B2" s="151" t="s">
        <v>134</v>
      </c>
      <c r="C2" s="151"/>
      <c r="D2" s="151"/>
      <c r="E2" s="151"/>
      <c r="F2" s="151"/>
      <c r="G2" s="151"/>
      <c r="H2" s="151"/>
      <c r="I2" s="151"/>
      <c r="J2" s="151"/>
      <c r="K2" s="151"/>
      <c r="L2" s="151"/>
    </row>
    <row r="3" spans="1:35" ht="13.9">
      <c r="R3" s="387" t="s">
        <v>135</v>
      </c>
      <c r="S3" s="387"/>
      <c r="T3" s="148"/>
      <c r="U3" s="168" t="s">
        <v>72</v>
      </c>
      <c r="V3" s="388" t="s">
        <v>73</v>
      </c>
      <c r="W3" s="388"/>
      <c r="X3" s="168" t="s">
        <v>74</v>
      </c>
      <c r="Z3" s="168" t="s">
        <v>72</v>
      </c>
      <c r="AA3" s="388" t="s">
        <v>73</v>
      </c>
      <c r="AB3" s="388"/>
      <c r="AC3" s="168" t="s">
        <v>74</v>
      </c>
      <c r="AF3" s="428" t="s">
        <v>75</v>
      </c>
      <c r="AG3" s="429"/>
      <c r="AH3" s="429"/>
      <c r="AI3" s="430"/>
    </row>
    <row r="4" spans="1:35" ht="39.6">
      <c r="B4" s="132" t="s">
        <v>38</v>
      </c>
      <c r="C4" s="133" t="s">
        <v>136</v>
      </c>
      <c r="D4" s="133" t="s">
        <v>41</v>
      </c>
      <c r="E4" s="133" t="str">
        <f>'Q1-(Without Zero Volume)'!G3</f>
        <v>Put Price (P) ( Bid and ask Average)\</v>
      </c>
      <c r="F4" s="133" t="s">
        <v>137</v>
      </c>
      <c r="G4" s="133" t="str">
        <f>'Q1-(Without Zero Volume)'!H3</f>
        <v>Stock Price/ Spot Price (S)</v>
      </c>
      <c r="H4" s="133" t="str">
        <f>'Q1-(Without Zero Volume)'!I3</f>
        <v>Strike Price (K)</v>
      </c>
      <c r="I4" s="134" t="s">
        <v>138</v>
      </c>
      <c r="J4" s="134" t="s">
        <v>139</v>
      </c>
      <c r="K4" s="133" t="s">
        <v>140</v>
      </c>
      <c r="L4" s="137" t="s">
        <v>52</v>
      </c>
      <c r="M4" s="140" t="s">
        <v>141</v>
      </c>
      <c r="N4" s="140" t="s">
        <v>142</v>
      </c>
      <c r="O4" s="141" t="s">
        <v>52</v>
      </c>
      <c r="P4" s="141" t="s">
        <v>51</v>
      </c>
      <c r="Q4" s="141" t="s">
        <v>54</v>
      </c>
      <c r="R4" s="150" t="s">
        <v>55</v>
      </c>
      <c r="S4" s="150" t="s">
        <v>56</v>
      </c>
      <c r="T4" s="149"/>
      <c r="U4" s="156" t="s">
        <v>76</v>
      </c>
      <c r="V4" s="389" t="s">
        <v>77</v>
      </c>
      <c r="W4" s="389"/>
      <c r="X4" s="155" t="s">
        <v>78</v>
      </c>
      <c r="Z4" s="165" t="s">
        <v>79</v>
      </c>
      <c r="AA4" s="395"/>
      <c r="AB4" s="396"/>
      <c r="AC4" s="172"/>
      <c r="AF4" s="419" t="s">
        <v>80</v>
      </c>
      <c r="AG4" s="404" t="s">
        <v>143</v>
      </c>
      <c r="AH4" s="405"/>
      <c r="AI4" s="406"/>
    </row>
    <row r="5" spans="1:35" ht="14.45" customHeight="1">
      <c r="B5" s="106" t="s">
        <v>144</v>
      </c>
      <c r="C5" s="107">
        <v>45558.774583333332</v>
      </c>
      <c r="D5" s="135">
        <f>('Bloomberg Raw Data-5th (2)'!C8+'Bloomberg Raw Data-5th (2)'!D8)/2</f>
        <v>41.675003051757798</v>
      </c>
      <c r="E5" s="135">
        <f>('Bloomberg Raw Data-5th (2)'!J8+'Bloomberg Raw Data-5th (2)'!K8)/2</f>
        <v>0.1400000154972075</v>
      </c>
      <c r="F5" s="109">
        <f t="shared" ref="F5:F44" si="0">D5-E5</f>
        <v>41.535003036260591</v>
      </c>
      <c r="G5" s="110">
        <v>101.65</v>
      </c>
      <c r="H5" s="108">
        <f>'Bloomberg Raw Data-5th (2)'!A8</f>
        <v>60</v>
      </c>
      <c r="I5" s="111">
        <f t="shared" ref="I5:I44" si="1">2.718281^(-$X$10*$X$11)</f>
        <v>0.99832372845504969</v>
      </c>
      <c r="J5" s="111">
        <f>H5*I5</f>
        <v>59.899423707302979</v>
      </c>
      <c r="K5" s="111">
        <f t="shared" ref="K5:K44" si="2">G5-J5</f>
        <v>41.750576292697026</v>
      </c>
      <c r="L5" s="138">
        <f>F5-K5</f>
        <v>-0.21557325643643566</v>
      </c>
      <c r="M5" s="142">
        <f>D5+J5</f>
        <v>101.57442675906077</v>
      </c>
      <c r="N5" s="142">
        <f>E5+G5</f>
        <v>101.79000001549721</v>
      </c>
      <c r="O5" s="142">
        <f>M5-N5</f>
        <v>-0.21557325643644276</v>
      </c>
      <c r="P5" s="143" t="str">
        <f>IF(M5=N5,"Not Violated","Voilated")</f>
        <v>Voilated</v>
      </c>
      <c r="Q5" s="142">
        <f>M5-G5</f>
        <v>-7.557324093923512E-2</v>
      </c>
      <c r="R5" s="144" t="str">
        <f>IF(ABS(E5-Q5)&lt;=0.01,"NO VIOLATION",IF(E5&gt;Q5,"YES", "NO"))</f>
        <v>YES</v>
      </c>
      <c r="S5" s="144" t="str">
        <f>IF(ABS(E5-Q5)&lt;=0.01,"NO VIOLATION",IF(E5&gt;Q5,"NO", "YES"))</f>
        <v>NO</v>
      </c>
      <c r="U5" s="152"/>
      <c r="V5" s="395"/>
      <c r="W5" s="396"/>
      <c r="X5" s="152"/>
      <c r="Z5" s="166" t="s">
        <v>145</v>
      </c>
      <c r="AA5" s="431" t="s">
        <v>83</v>
      </c>
      <c r="AB5" s="432"/>
      <c r="AC5" s="435" t="s">
        <v>146</v>
      </c>
      <c r="AF5" s="419"/>
      <c r="AG5" s="407" t="s">
        <v>147</v>
      </c>
      <c r="AH5" s="408"/>
      <c r="AI5" s="409"/>
    </row>
    <row r="6" spans="1:35" ht="15.6">
      <c r="B6" s="106" t="s">
        <v>148</v>
      </c>
      <c r="C6" s="107">
        <v>45574.58792824074</v>
      </c>
      <c r="D6" s="135">
        <f>('Bloomberg Raw Data-5th (2)'!C9+'Bloomberg Raw Data-5th (2)'!D9)/2</f>
        <v>31.649993896484403</v>
      </c>
      <c r="E6" s="135">
        <f>('Bloomberg Raw Data-5th (2)'!J9+'Bloomberg Raw Data-5th (2)'!K9)/2</f>
        <v>0.145000010728836</v>
      </c>
      <c r="F6" s="109">
        <f t="shared" si="0"/>
        <v>31.504993885755567</v>
      </c>
      <c r="G6" s="110">
        <f t="shared" ref="G6:G44" si="3">G5</f>
        <v>101.65</v>
      </c>
      <c r="H6" s="108">
        <f>'Bloomberg Raw Data-5th (2)'!A9</f>
        <v>70</v>
      </c>
      <c r="I6" s="111">
        <f t="shared" si="1"/>
        <v>0.99832372845504969</v>
      </c>
      <c r="J6" s="111">
        <f t="shared" ref="J6:J44" si="4">H6*I6</f>
        <v>69.882660991853484</v>
      </c>
      <c r="K6" s="111">
        <f t="shared" si="2"/>
        <v>31.767339008146521</v>
      </c>
      <c r="L6" s="138">
        <f t="shared" ref="L6:L44" si="5">F6-K6</f>
        <v>-0.26234512239095409</v>
      </c>
      <c r="M6" s="142">
        <f t="shared" ref="M6:M44" si="6">D6+J6</f>
        <v>101.53265488833789</v>
      </c>
      <c r="N6" s="142">
        <f t="shared" ref="N6:N44" si="7">E6+G6</f>
        <v>101.79500001072884</v>
      </c>
      <c r="O6" s="142">
        <f t="shared" ref="O6:O44" si="8">M6-N6</f>
        <v>-0.26234512239095409</v>
      </c>
      <c r="P6" s="143" t="str">
        <f t="shared" ref="P6:P44" si="9">IF(M6=N6,"Not Violated","Voilated")</f>
        <v>Voilated</v>
      </c>
      <c r="Q6" s="142">
        <f t="shared" ref="Q6:Q44" si="10">M6-G6</f>
        <v>-0.11734511166211803</v>
      </c>
      <c r="R6" s="144" t="str">
        <f t="shared" ref="R6:R44" si="11">IF(ABS(E6-Q6)&lt;=0.01,"NO VIOLATION",IF(E6&gt;Q6,"YES", "NO"))</f>
        <v>YES</v>
      </c>
      <c r="S6" s="144" t="str">
        <f t="shared" ref="S6:S44" si="12">IF(ABS(E6-Q6)&lt;=0.01,"NO VIOLATION",IF(E6&gt;Q6,"NO", "YES"))</f>
        <v>NO</v>
      </c>
      <c r="U6" s="391" t="s">
        <v>86</v>
      </c>
      <c r="V6" s="390" t="s">
        <v>87</v>
      </c>
      <c r="W6" s="390"/>
      <c r="X6" s="157">
        <f>D15</f>
        <v>1.62999963760376</v>
      </c>
      <c r="Z6" s="167" t="s">
        <v>149</v>
      </c>
      <c r="AA6" s="433"/>
      <c r="AB6" s="434"/>
      <c r="AC6" s="436"/>
      <c r="AF6" s="419"/>
      <c r="AG6" s="410" t="s">
        <v>150</v>
      </c>
      <c r="AH6" s="408"/>
      <c r="AI6" s="409"/>
    </row>
    <row r="7" spans="1:35" ht="15.6">
      <c r="B7" s="106" t="s">
        <v>151</v>
      </c>
      <c r="C7" s="107">
        <v>45596.816944444443</v>
      </c>
      <c r="D7" s="135">
        <f>('Bloomberg Raw Data-5th (2)'!C10+'Bloomberg Raw Data-5th (2)'!D10)/2</f>
        <v>21.674995422363303</v>
      </c>
      <c r="E7" s="135">
        <f>('Bloomberg Raw Data-5th (2)'!J10+'Bloomberg Raw Data-5th (2)'!K10)/2</f>
        <v>6.4999997615814001E-2</v>
      </c>
      <c r="F7" s="109">
        <f t="shared" si="0"/>
        <v>21.609995424747488</v>
      </c>
      <c r="G7" s="110">
        <f t="shared" si="3"/>
        <v>101.65</v>
      </c>
      <c r="H7" s="108">
        <f>'Bloomberg Raw Data-5th (2)'!A10</f>
        <v>80</v>
      </c>
      <c r="I7" s="111">
        <f t="shared" si="1"/>
        <v>0.99832372845504969</v>
      </c>
      <c r="J7" s="111">
        <f t="shared" si="4"/>
        <v>79.865898276403982</v>
      </c>
      <c r="K7" s="111">
        <f t="shared" si="2"/>
        <v>21.784101723596024</v>
      </c>
      <c r="L7" s="138">
        <f t="shared" si="5"/>
        <v>-0.17410629884853535</v>
      </c>
      <c r="M7" s="142">
        <f t="shared" si="6"/>
        <v>101.54089369876729</v>
      </c>
      <c r="N7" s="142">
        <f t="shared" si="7"/>
        <v>101.71499999761582</v>
      </c>
      <c r="O7" s="142">
        <f t="shared" si="8"/>
        <v>-0.17410629884852824</v>
      </c>
      <c r="P7" s="143" t="str">
        <f t="shared" si="9"/>
        <v>Voilated</v>
      </c>
      <c r="Q7" s="142">
        <f t="shared" si="10"/>
        <v>-0.10910630123271403</v>
      </c>
      <c r="R7" s="144" t="str">
        <f t="shared" si="11"/>
        <v>YES</v>
      </c>
      <c r="S7" s="144" t="str">
        <f t="shared" si="12"/>
        <v>NO</v>
      </c>
      <c r="U7" s="391"/>
      <c r="V7" s="390" t="s">
        <v>90</v>
      </c>
      <c r="W7" s="390"/>
      <c r="X7" s="157">
        <f>E15</f>
        <v>2.0149998664855948</v>
      </c>
      <c r="Z7" s="401" t="s">
        <v>91</v>
      </c>
      <c r="AA7" s="426" t="s">
        <v>152</v>
      </c>
      <c r="AB7" s="427"/>
      <c r="AC7" s="152"/>
      <c r="AF7" s="419"/>
      <c r="AG7" s="407" t="s">
        <v>153</v>
      </c>
      <c r="AH7" s="408"/>
      <c r="AI7" s="409"/>
    </row>
    <row r="8" spans="1:35" ht="15.6">
      <c r="B8" s="106" t="s">
        <v>154</v>
      </c>
      <c r="C8" s="107">
        <v>45600.700659722221</v>
      </c>
      <c r="D8" s="135">
        <f>('Bloomberg Raw Data-5th (2)'!C11+'Bloomberg Raw Data-5th (2)'!D11)/2</f>
        <v>16.599998474121101</v>
      </c>
      <c r="E8" s="135">
        <f>('Bloomberg Raw Data-5th (2)'!J11+'Bloomberg Raw Data-5th (2)'!K11)/2</f>
        <v>5.0000011920928997E-2</v>
      </c>
      <c r="F8" s="109">
        <f t="shared" si="0"/>
        <v>16.549998462200172</v>
      </c>
      <c r="G8" s="110">
        <f t="shared" si="3"/>
        <v>101.65</v>
      </c>
      <c r="H8" s="108">
        <f>'Bloomberg Raw Data-5th (2)'!A11</f>
        <v>85</v>
      </c>
      <c r="I8" s="111">
        <f t="shared" si="1"/>
        <v>0.99832372845504969</v>
      </c>
      <c r="J8" s="111">
        <f t="shared" si="4"/>
        <v>84.857516918679224</v>
      </c>
      <c r="K8" s="111">
        <f t="shared" si="2"/>
        <v>16.792483081320782</v>
      </c>
      <c r="L8" s="138">
        <f t="shared" si="5"/>
        <v>-0.24248461912061003</v>
      </c>
      <c r="M8" s="142">
        <f t="shared" si="6"/>
        <v>101.45751539280033</v>
      </c>
      <c r="N8" s="142">
        <f t="shared" si="7"/>
        <v>101.70000001192093</v>
      </c>
      <c r="O8" s="142">
        <f t="shared" si="8"/>
        <v>-0.24248461912060293</v>
      </c>
      <c r="P8" s="143" t="str">
        <f t="shared" si="9"/>
        <v>Voilated</v>
      </c>
      <c r="Q8" s="142">
        <f t="shared" si="10"/>
        <v>-0.19248460719967397</v>
      </c>
      <c r="R8" s="144" t="str">
        <f t="shared" si="11"/>
        <v>YES</v>
      </c>
      <c r="S8" s="144" t="str">
        <f t="shared" si="12"/>
        <v>NO</v>
      </c>
      <c r="U8" s="391"/>
      <c r="V8" s="390" t="s">
        <v>94</v>
      </c>
      <c r="W8" s="390"/>
      <c r="X8" s="158">
        <f>G15</f>
        <v>101.65</v>
      </c>
      <c r="Z8" s="401"/>
      <c r="AA8" s="392" t="s">
        <v>95</v>
      </c>
      <c r="AB8" s="393"/>
      <c r="AC8" s="174">
        <f>-$D$15</f>
        <v>-1.62999963760376</v>
      </c>
    </row>
    <row r="9" spans="1:35" ht="15.6">
      <c r="B9" s="106" t="s">
        <v>155</v>
      </c>
      <c r="C9" s="107">
        <v>45589.609664351847</v>
      </c>
      <c r="D9" s="135">
        <f>('Bloomberg Raw Data-5th (2)'!C12+'Bloomberg Raw Data-5th (2)'!D12)/2</f>
        <v>11.650000095367449</v>
      </c>
      <c r="E9" s="135">
        <f>('Bloomberg Raw Data-5th (2)'!J12+'Bloomberg Raw Data-5th (2)'!K12)/2</f>
        <v>5.0000016577541842E-2</v>
      </c>
      <c r="F9" s="109">
        <f t="shared" si="0"/>
        <v>11.600000078789908</v>
      </c>
      <c r="G9" s="110">
        <f t="shared" si="3"/>
        <v>101.65</v>
      </c>
      <c r="H9" s="108">
        <f>'Bloomberg Raw Data-5th (2)'!A12</f>
        <v>90</v>
      </c>
      <c r="I9" s="111">
        <f t="shared" si="1"/>
        <v>0.99832372845504969</v>
      </c>
      <c r="J9" s="111">
        <f t="shared" si="4"/>
        <v>89.849135560954466</v>
      </c>
      <c r="K9" s="111">
        <f t="shared" si="2"/>
        <v>11.80086443904554</v>
      </c>
      <c r="L9" s="138">
        <f t="shared" si="5"/>
        <v>-0.20086436025563259</v>
      </c>
      <c r="M9" s="142">
        <f t="shared" si="6"/>
        <v>101.49913565632191</v>
      </c>
      <c r="N9" s="142">
        <f t="shared" si="7"/>
        <v>101.70000001657755</v>
      </c>
      <c r="O9" s="142">
        <f t="shared" si="8"/>
        <v>-0.20086436025563614</v>
      </c>
      <c r="P9" s="143" t="str">
        <f t="shared" si="9"/>
        <v>Voilated</v>
      </c>
      <c r="Q9" s="142">
        <f t="shared" si="10"/>
        <v>-0.15086434367809431</v>
      </c>
      <c r="R9" s="144" t="str">
        <f t="shared" si="11"/>
        <v>YES</v>
      </c>
      <c r="S9" s="144" t="str">
        <f t="shared" si="12"/>
        <v>NO</v>
      </c>
      <c r="U9" s="391"/>
      <c r="V9" s="390" t="s">
        <v>96</v>
      </c>
      <c r="W9" s="390"/>
      <c r="X9" s="159">
        <f>H15</f>
        <v>102</v>
      </c>
      <c r="Z9" s="401"/>
      <c r="AA9" s="392" t="s">
        <v>97</v>
      </c>
      <c r="AB9" s="393"/>
      <c r="AC9" s="179">
        <f>$E$15</f>
        <v>2.0149998664855948</v>
      </c>
    </row>
    <row r="10" spans="1:35" ht="42" customHeight="1">
      <c r="B10" s="106" t="s">
        <v>156</v>
      </c>
      <c r="C10" s="107">
        <v>45601.620972222219</v>
      </c>
      <c r="D10" s="135">
        <f>('Bloomberg Raw Data-5th (2)'!C13+'Bloomberg Raw Data-5th (2)'!D13)/2</f>
        <v>6.8000001907348651</v>
      </c>
      <c r="E10" s="135">
        <f>('Bloomberg Raw Data-5th (2)'!J13+'Bloomberg Raw Data-5th (2)'!K13)/2</f>
        <v>0.16999998688697826</v>
      </c>
      <c r="F10" s="109">
        <f t="shared" si="0"/>
        <v>6.6300002038478869</v>
      </c>
      <c r="G10" s="110">
        <f t="shared" si="3"/>
        <v>101.65</v>
      </c>
      <c r="H10" s="108">
        <f>'Bloomberg Raw Data-5th (2)'!A13</f>
        <v>95</v>
      </c>
      <c r="I10" s="111">
        <f t="shared" si="1"/>
        <v>0.99832372845504969</v>
      </c>
      <c r="J10" s="111">
        <f t="shared" si="4"/>
        <v>94.840754203229721</v>
      </c>
      <c r="K10" s="111">
        <f t="shared" si="2"/>
        <v>6.8092457967702842</v>
      </c>
      <c r="L10" s="138">
        <f t="shared" si="5"/>
        <v>-0.17924559292239728</v>
      </c>
      <c r="M10" s="142">
        <f t="shared" si="6"/>
        <v>101.64075439396458</v>
      </c>
      <c r="N10" s="142">
        <f t="shared" si="7"/>
        <v>101.81999998688698</v>
      </c>
      <c r="O10" s="142">
        <f t="shared" si="8"/>
        <v>-0.17924559292239906</v>
      </c>
      <c r="P10" s="143" t="str">
        <f t="shared" si="9"/>
        <v>Voilated</v>
      </c>
      <c r="Q10" s="142">
        <f t="shared" si="10"/>
        <v>-9.2456060354209058E-3</v>
      </c>
      <c r="R10" s="144" t="str">
        <f t="shared" si="11"/>
        <v>YES</v>
      </c>
      <c r="S10" s="144" t="str">
        <f t="shared" si="12"/>
        <v>NO</v>
      </c>
      <c r="U10" s="391"/>
      <c r="V10" s="390" t="s">
        <v>98</v>
      </c>
      <c r="W10" s="390"/>
      <c r="X10" s="160">
        <f>'Q2. Implied Volatality - Final'!I8</f>
        <v>4.6974999999999996E-2</v>
      </c>
      <c r="Z10" s="401"/>
      <c r="AA10" s="392" t="s">
        <v>99</v>
      </c>
      <c r="AB10" s="393"/>
      <c r="AC10" s="175">
        <v>101.65</v>
      </c>
      <c r="AD10" s="118" t="s">
        <v>157</v>
      </c>
    </row>
    <row r="11" spans="1:35" ht="15.6">
      <c r="B11" s="106" t="s">
        <v>158</v>
      </c>
      <c r="C11" s="107">
        <v>45597.675428240742</v>
      </c>
      <c r="D11" s="135">
        <f>('Bloomberg Raw Data-5th (2)'!C14+'Bloomberg Raw Data-5th (2)'!D14)/2</f>
        <v>4.2250003814697248</v>
      </c>
      <c r="E11" s="135">
        <f>('Bloomberg Raw Data-5th (2)'!J14+'Bloomberg Raw Data-5th (2)'!K14)/2</f>
        <v>0.61000001430511497</v>
      </c>
      <c r="F11" s="109">
        <f t="shared" si="0"/>
        <v>3.61500036716461</v>
      </c>
      <c r="G11" s="110">
        <f t="shared" si="3"/>
        <v>101.65</v>
      </c>
      <c r="H11" s="108">
        <f>'Bloomberg Raw Data-5th (2)'!A14</f>
        <v>98</v>
      </c>
      <c r="I11" s="111">
        <f t="shared" si="1"/>
        <v>0.99832372845504969</v>
      </c>
      <c r="J11" s="111">
        <f t="shared" si="4"/>
        <v>97.835725388594867</v>
      </c>
      <c r="K11" s="111">
        <f t="shared" si="2"/>
        <v>3.8142746114051391</v>
      </c>
      <c r="L11" s="138">
        <f t="shared" si="5"/>
        <v>-0.19927424424052909</v>
      </c>
      <c r="M11" s="142">
        <f t="shared" si="6"/>
        <v>102.06072577006459</v>
      </c>
      <c r="N11" s="142">
        <f t="shared" si="7"/>
        <v>102.26000001430512</v>
      </c>
      <c r="O11" s="142">
        <f t="shared" si="8"/>
        <v>-0.19927424424052731</v>
      </c>
      <c r="P11" s="143" t="str">
        <f t="shared" si="9"/>
        <v>Voilated</v>
      </c>
      <c r="Q11" s="142">
        <f t="shared" si="10"/>
        <v>0.41072577006458744</v>
      </c>
      <c r="R11" s="144" t="str">
        <f t="shared" si="11"/>
        <v>YES</v>
      </c>
      <c r="S11" s="144" t="str">
        <f t="shared" si="12"/>
        <v>NO</v>
      </c>
      <c r="U11" s="391"/>
      <c r="V11" s="390" t="s">
        <v>100</v>
      </c>
      <c r="W11" s="390"/>
      <c r="X11" s="161">
        <f>9/252</f>
        <v>3.5714285714285712E-2</v>
      </c>
      <c r="Z11" s="401"/>
      <c r="AA11" s="392" t="s">
        <v>101</v>
      </c>
      <c r="AB11" s="393"/>
      <c r="AC11" s="174">
        <f>-$J$15</f>
        <v>-101.82902030241507</v>
      </c>
    </row>
    <row r="12" spans="1:35" ht="25.9" customHeight="1">
      <c r="B12" s="106" t="s">
        <v>159</v>
      </c>
      <c r="C12" s="107">
        <v>45600.628958333327</v>
      </c>
      <c r="D12" s="135">
        <f>('Bloomberg Raw Data-5th (2)'!C15+'Bloomberg Raw Data-5th (2)'!D15)/2</f>
        <v>3.4750003814697248</v>
      </c>
      <c r="E12" s="135">
        <f>('Bloomberg Raw Data-5th (2)'!J15+'Bloomberg Raw Data-5th (2)'!K15)/2</f>
        <v>0.87999999523162853</v>
      </c>
      <c r="F12" s="109">
        <f t="shared" si="0"/>
        <v>2.5950003862380964</v>
      </c>
      <c r="G12" s="110">
        <f t="shared" si="3"/>
        <v>101.65</v>
      </c>
      <c r="H12" s="108">
        <f>'Bloomberg Raw Data-5th (2)'!A15</f>
        <v>99</v>
      </c>
      <c r="I12" s="111">
        <f t="shared" si="1"/>
        <v>0.99832372845504969</v>
      </c>
      <c r="J12" s="111">
        <f t="shared" si="4"/>
        <v>98.834049117049915</v>
      </c>
      <c r="K12" s="111">
        <f t="shared" si="2"/>
        <v>2.8159508829500908</v>
      </c>
      <c r="L12" s="138">
        <f t="shared" si="5"/>
        <v>-0.2209504967119944</v>
      </c>
      <c r="M12" s="142">
        <f t="shared" si="6"/>
        <v>102.30904949851964</v>
      </c>
      <c r="N12" s="142">
        <f t="shared" si="7"/>
        <v>102.52999999523163</v>
      </c>
      <c r="O12" s="142">
        <f t="shared" si="8"/>
        <v>-0.22095049671199263</v>
      </c>
      <c r="P12" s="143" t="str">
        <f t="shared" si="9"/>
        <v>Voilated</v>
      </c>
      <c r="Q12" s="142">
        <f t="shared" si="10"/>
        <v>0.65904949851963579</v>
      </c>
      <c r="R12" s="144" t="str">
        <f t="shared" si="11"/>
        <v>YES</v>
      </c>
      <c r="S12" s="144" t="str">
        <f t="shared" si="12"/>
        <v>NO</v>
      </c>
      <c r="U12" s="391"/>
      <c r="V12" s="390" t="s">
        <v>102</v>
      </c>
      <c r="W12" s="390"/>
      <c r="X12" s="158">
        <v>2.7182810000000002</v>
      </c>
      <c r="Z12" s="152"/>
      <c r="AA12" s="411" t="s">
        <v>103</v>
      </c>
      <c r="AB12" s="412"/>
      <c r="AC12" s="176">
        <f>SUM(AC8:AC11)</f>
        <v>0.20597992646676744</v>
      </c>
    </row>
    <row r="13" spans="1:35" ht="15.6">
      <c r="B13" s="106" t="s">
        <v>160</v>
      </c>
      <c r="C13" s="107">
        <v>45601.636006944442</v>
      </c>
      <c r="D13" s="135">
        <f>('Bloomberg Raw Data-5th (2)'!C16+'Bloomberg Raw Data-5th (2)'!D16)/2</f>
        <v>2.7850003242492649</v>
      </c>
      <c r="E13" s="135">
        <f>('Bloomberg Raw Data-5th (2)'!J16+'Bloomberg Raw Data-5th (2)'!K16)/2</f>
        <v>1.1300001144409202</v>
      </c>
      <c r="F13" s="109">
        <f t="shared" si="0"/>
        <v>1.6550002098083447</v>
      </c>
      <c r="G13" s="110">
        <f t="shared" si="3"/>
        <v>101.65</v>
      </c>
      <c r="H13" s="108">
        <f>'Bloomberg Raw Data-5th (2)'!A16</f>
        <v>100</v>
      </c>
      <c r="I13" s="111">
        <f t="shared" si="1"/>
        <v>0.99832372845504969</v>
      </c>
      <c r="J13" s="111">
        <f t="shared" si="4"/>
        <v>99.832372845504963</v>
      </c>
      <c r="K13" s="111">
        <f t="shared" si="2"/>
        <v>1.8176271544950424</v>
      </c>
      <c r="L13" s="138">
        <f t="shared" si="5"/>
        <v>-0.16262694468669769</v>
      </c>
      <c r="M13" s="142">
        <f t="shared" si="6"/>
        <v>102.61737316975423</v>
      </c>
      <c r="N13" s="142">
        <f t="shared" si="7"/>
        <v>102.78000011444092</v>
      </c>
      <c r="O13" s="142">
        <f t="shared" si="8"/>
        <v>-0.16262694468669281</v>
      </c>
      <c r="P13" s="143" t="str">
        <f t="shared" si="9"/>
        <v>Voilated</v>
      </c>
      <c r="Q13" s="142">
        <f t="shared" si="10"/>
        <v>0.96737316975422516</v>
      </c>
      <c r="R13" s="144" t="str">
        <f t="shared" si="11"/>
        <v>YES</v>
      </c>
      <c r="S13" s="144" t="str">
        <f t="shared" si="12"/>
        <v>NO</v>
      </c>
      <c r="U13" s="154" t="s">
        <v>104</v>
      </c>
      <c r="V13" s="397" t="s">
        <v>105</v>
      </c>
      <c r="W13" s="398"/>
      <c r="X13" s="169">
        <f>X9*X12^(-X10*X11)</f>
        <v>101.82902030241507</v>
      </c>
      <c r="Z13" s="152"/>
      <c r="AA13" s="395"/>
      <c r="AB13" s="396"/>
      <c r="AC13" s="152"/>
    </row>
    <row r="14" spans="1:35" ht="15.6">
      <c r="B14" s="106" t="s">
        <v>161</v>
      </c>
      <c r="C14" s="107">
        <v>45601.643564814818</v>
      </c>
      <c r="D14" s="135">
        <f>('Bloomberg Raw Data-5th (2)'!C17+'Bloomberg Raw Data-5th (2)'!D17)/2</f>
        <v>2.1599998474121103</v>
      </c>
      <c r="E14" s="135">
        <f>('Bloomberg Raw Data-5th (2)'!J17+'Bloomberg Raw Data-5th (2)'!K17)/2</f>
        <v>1.5499997138977051</v>
      </c>
      <c r="F14" s="109">
        <f t="shared" si="0"/>
        <v>0.61000013351440519</v>
      </c>
      <c r="G14" s="110">
        <f t="shared" si="3"/>
        <v>101.65</v>
      </c>
      <c r="H14" s="108">
        <f>'Bloomberg Raw Data-5th (2)'!A17</f>
        <v>101</v>
      </c>
      <c r="I14" s="111">
        <f t="shared" si="1"/>
        <v>0.99832372845504969</v>
      </c>
      <c r="J14" s="111">
        <f t="shared" si="4"/>
        <v>100.83069657396001</v>
      </c>
      <c r="K14" s="111">
        <f t="shared" si="2"/>
        <v>0.81930342603999406</v>
      </c>
      <c r="L14" s="138">
        <f t="shared" si="5"/>
        <v>-0.20930329252558888</v>
      </c>
      <c r="M14" s="142">
        <f t="shared" si="6"/>
        <v>102.99069642137212</v>
      </c>
      <c r="N14" s="142">
        <f t="shared" si="7"/>
        <v>103.19999971389771</v>
      </c>
      <c r="O14" s="142">
        <f t="shared" si="8"/>
        <v>-0.20930329252558977</v>
      </c>
      <c r="P14" s="143" t="str">
        <f t="shared" si="9"/>
        <v>Voilated</v>
      </c>
      <c r="Q14" s="142">
        <f t="shared" si="10"/>
        <v>1.3406964213721153</v>
      </c>
      <c r="R14" s="144" t="str">
        <f t="shared" si="11"/>
        <v>YES</v>
      </c>
      <c r="S14" s="144" t="str">
        <f t="shared" si="12"/>
        <v>NO</v>
      </c>
      <c r="U14" s="152"/>
      <c r="V14" s="395"/>
      <c r="W14" s="396"/>
      <c r="X14" s="170" t="s">
        <v>162</v>
      </c>
      <c r="Z14" s="164" t="s">
        <v>107</v>
      </c>
      <c r="AA14" s="413">
        <f>'Bloomberg Raw Data-5th(No zero)'!I54</f>
        <v>96.31</v>
      </c>
      <c r="AB14" s="414"/>
      <c r="AC14" s="152"/>
    </row>
    <row r="15" spans="1:35" ht="15.6">
      <c r="B15" s="112" t="s">
        <v>163</v>
      </c>
      <c r="C15" s="113">
        <v>45601.617951388893</v>
      </c>
      <c r="D15" s="136">
        <f>('Bloomberg Raw Data-5th (2)'!C18+'Bloomberg Raw Data-5th (2)'!D18)/2</f>
        <v>1.62999963760376</v>
      </c>
      <c r="E15" s="136">
        <f>('Bloomberg Raw Data-5th (2)'!J18+'Bloomberg Raw Data-5th (2)'!K18)/2</f>
        <v>2.0149998664855948</v>
      </c>
      <c r="F15" s="115">
        <f t="shared" si="0"/>
        <v>-0.38500022888183483</v>
      </c>
      <c r="G15" s="116">
        <f t="shared" si="3"/>
        <v>101.65</v>
      </c>
      <c r="H15" s="114">
        <f>'Bloomberg Raw Data-5th (2)'!A18</f>
        <v>102</v>
      </c>
      <c r="I15" s="117">
        <f t="shared" si="1"/>
        <v>0.99832372845504969</v>
      </c>
      <c r="J15" s="117">
        <f t="shared" si="4"/>
        <v>101.82902030241507</v>
      </c>
      <c r="K15" s="117">
        <f t="shared" si="2"/>
        <v>-0.1790203024150685</v>
      </c>
      <c r="L15" s="139">
        <f t="shared" si="5"/>
        <v>-0.20597992646676633</v>
      </c>
      <c r="M15" s="145">
        <f t="shared" si="6"/>
        <v>103.45901994001883</v>
      </c>
      <c r="N15" s="145">
        <f t="shared" si="7"/>
        <v>103.6649998664856</v>
      </c>
      <c r="O15" s="145">
        <f t="shared" si="8"/>
        <v>-0.20597992646676744</v>
      </c>
      <c r="P15" s="146" t="str">
        <f t="shared" si="9"/>
        <v>Voilated</v>
      </c>
      <c r="Q15" s="145">
        <f t="shared" si="10"/>
        <v>1.8090199400188283</v>
      </c>
      <c r="R15" s="147" t="str">
        <f t="shared" si="11"/>
        <v>YES</v>
      </c>
      <c r="S15" s="147" t="str">
        <f t="shared" si="12"/>
        <v>NO</v>
      </c>
      <c r="U15" s="143" t="s">
        <v>108</v>
      </c>
      <c r="V15" s="400" t="s">
        <v>109</v>
      </c>
      <c r="W15" s="400"/>
      <c r="X15" s="171">
        <f>X6-X7</f>
        <v>-0.38500022888183483</v>
      </c>
      <c r="Z15" s="152"/>
      <c r="AA15" s="395"/>
      <c r="AB15" s="396"/>
      <c r="AC15" s="152"/>
    </row>
    <row r="16" spans="1:35" ht="15.6">
      <c r="B16" s="106" t="s">
        <v>164</v>
      </c>
      <c r="C16" s="107">
        <v>45601.641770833332</v>
      </c>
      <c r="D16" s="135">
        <f>('Bloomberg Raw Data-5th (2)'!C19+'Bloomberg Raw Data-5th (2)'!D19)/2</f>
        <v>1.1950001716613801</v>
      </c>
      <c r="E16" s="135">
        <f>('Bloomberg Raw Data-5th (2)'!J19+'Bloomberg Raw Data-5th (2)'!K19)/2</f>
        <v>2.58500003814697</v>
      </c>
      <c r="F16" s="109">
        <f t="shared" si="0"/>
        <v>-1.3899998664855899</v>
      </c>
      <c r="G16" s="110">
        <f t="shared" si="3"/>
        <v>101.65</v>
      </c>
      <c r="H16" s="108">
        <f>'Bloomberg Raw Data-5th (2)'!A19</f>
        <v>103</v>
      </c>
      <c r="I16" s="111">
        <f t="shared" si="1"/>
        <v>0.99832372845504969</v>
      </c>
      <c r="J16" s="111">
        <f t="shared" si="4"/>
        <v>102.82734403087012</v>
      </c>
      <c r="K16" s="111">
        <f t="shared" si="2"/>
        <v>-1.1773440308701169</v>
      </c>
      <c r="L16" s="138">
        <f t="shared" si="5"/>
        <v>-0.21265583561547308</v>
      </c>
      <c r="M16" s="142">
        <f t="shared" si="6"/>
        <v>104.0223442025315</v>
      </c>
      <c r="N16" s="142">
        <f t="shared" si="7"/>
        <v>104.23500003814698</v>
      </c>
      <c r="O16" s="142">
        <f t="shared" si="8"/>
        <v>-0.21265583561547885</v>
      </c>
      <c r="P16" s="143" t="str">
        <f t="shared" si="9"/>
        <v>Voilated</v>
      </c>
      <c r="Q16" s="142">
        <f t="shared" si="10"/>
        <v>2.3723442025314938</v>
      </c>
      <c r="R16" s="144" t="str">
        <f t="shared" si="11"/>
        <v>YES</v>
      </c>
      <c r="S16" s="144" t="str">
        <f t="shared" si="12"/>
        <v>NO</v>
      </c>
      <c r="U16" s="143" t="s">
        <v>111</v>
      </c>
      <c r="V16" s="400" t="s">
        <v>112</v>
      </c>
      <c r="W16" s="400"/>
      <c r="X16" s="171">
        <f>K15</f>
        <v>-0.1790203024150685</v>
      </c>
      <c r="Z16" s="394" t="s">
        <v>91</v>
      </c>
      <c r="AA16" s="415" t="s">
        <v>165</v>
      </c>
      <c r="AB16" s="416"/>
      <c r="AC16" s="153"/>
    </row>
    <row r="17" spans="2:29" ht="15.6">
      <c r="B17" s="106" t="s">
        <v>166</v>
      </c>
      <c r="C17" s="107">
        <v>45601.618483796286</v>
      </c>
      <c r="D17" s="135">
        <f>('Bloomberg Raw Data-5th (2)'!C20+'Bloomberg Raw Data-5th (2)'!D20)/2</f>
        <v>0.84499999880790755</v>
      </c>
      <c r="E17" s="135">
        <f>('Bloomberg Raw Data-5th (2)'!J20+'Bloomberg Raw Data-5th (2)'!K20)/2</f>
        <v>3.2750000953674352</v>
      </c>
      <c r="F17" s="109">
        <f t="shared" si="0"/>
        <v>-2.4300000965595276</v>
      </c>
      <c r="G17" s="110">
        <f t="shared" si="3"/>
        <v>101.65</v>
      </c>
      <c r="H17" s="108">
        <f>'Bloomberg Raw Data-5th (2)'!A20</f>
        <v>104</v>
      </c>
      <c r="I17" s="111">
        <f t="shared" si="1"/>
        <v>0.99832372845504969</v>
      </c>
      <c r="J17" s="111">
        <f t="shared" si="4"/>
        <v>103.82566775932517</v>
      </c>
      <c r="K17" s="111">
        <f t="shared" si="2"/>
        <v>-2.1756677593251652</v>
      </c>
      <c r="L17" s="138">
        <f t="shared" si="5"/>
        <v>-0.25433233723436244</v>
      </c>
      <c r="M17" s="142">
        <f t="shared" si="6"/>
        <v>104.67066775813308</v>
      </c>
      <c r="N17" s="142">
        <f t="shared" si="7"/>
        <v>104.92500009536744</v>
      </c>
      <c r="O17" s="142">
        <f t="shared" si="8"/>
        <v>-0.25433233723435933</v>
      </c>
      <c r="P17" s="143" t="str">
        <f t="shared" si="9"/>
        <v>Voilated</v>
      </c>
      <c r="Q17" s="142">
        <f t="shared" si="10"/>
        <v>3.0206677581330723</v>
      </c>
      <c r="R17" s="144" t="str">
        <f t="shared" si="11"/>
        <v>YES</v>
      </c>
      <c r="S17" s="144" t="str">
        <f t="shared" si="12"/>
        <v>NO</v>
      </c>
      <c r="U17" s="143" t="s">
        <v>114</v>
      </c>
      <c r="V17" s="400" t="s">
        <v>115</v>
      </c>
      <c r="W17" s="400"/>
      <c r="X17" s="171">
        <f>L15</f>
        <v>-0.20597992646676633</v>
      </c>
      <c r="Z17" s="394"/>
      <c r="AA17" s="417" t="s">
        <v>167</v>
      </c>
      <c r="AB17" s="418"/>
      <c r="AC17" s="177" t="s">
        <v>168</v>
      </c>
    </row>
    <row r="18" spans="2:29" ht="15.6">
      <c r="B18" s="106" t="s">
        <v>169</v>
      </c>
      <c r="C18" s="107">
        <v>45601.646840277783</v>
      </c>
      <c r="D18" s="135">
        <f>('Bloomberg Raw Data-5th (2)'!C21+'Bloomberg Raw Data-5th (2)'!D21)/2</f>
        <v>0.59000000357627891</v>
      </c>
      <c r="E18" s="135">
        <f>('Bloomberg Raw Data-5th (2)'!J21+'Bloomberg Raw Data-5th (2)'!K21)/2</f>
        <v>4</v>
      </c>
      <c r="F18" s="109">
        <f t="shared" si="0"/>
        <v>-3.4099999964237213</v>
      </c>
      <c r="G18" s="110">
        <f t="shared" si="3"/>
        <v>101.65</v>
      </c>
      <c r="H18" s="108">
        <f>'Bloomberg Raw Data-5th (2)'!A21</f>
        <v>105</v>
      </c>
      <c r="I18" s="111">
        <f t="shared" si="1"/>
        <v>0.99832372845504969</v>
      </c>
      <c r="J18" s="111">
        <f t="shared" si="4"/>
        <v>104.82399148778022</v>
      </c>
      <c r="K18" s="111">
        <f t="shared" si="2"/>
        <v>-3.1739914877802136</v>
      </c>
      <c r="L18" s="138">
        <f t="shared" si="5"/>
        <v>-0.23600850864350775</v>
      </c>
      <c r="M18" s="142">
        <f t="shared" si="6"/>
        <v>105.4139914913565</v>
      </c>
      <c r="N18" s="142">
        <f t="shared" si="7"/>
        <v>105.65</v>
      </c>
      <c r="O18" s="142">
        <f t="shared" si="8"/>
        <v>-0.23600850864350775</v>
      </c>
      <c r="P18" s="143" t="str">
        <f t="shared" si="9"/>
        <v>Voilated</v>
      </c>
      <c r="Q18" s="142">
        <f t="shared" si="10"/>
        <v>3.7639914913564922</v>
      </c>
      <c r="R18" s="144" t="str">
        <f t="shared" si="11"/>
        <v>YES</v>
      </c>
      <c r="S18" s="144" t="str">
        <f t="shared" si="12"/>
        <v>NO</v>
      </c>
      <c r="U18" s="152"/>
      <c r="V18" s="399"/>
      <c r="W18" s="399"/>
      <c r="X18" s="172" t="s">
        <v>116</v>
      </c>
      <c r="Z18" s="394"/>
      <c r="AA18" s="420"/>
      <c r="AB18" s="421"/>
      <c r="AC18" s="177" t="s">
        <v>170</v>
      </c>
    </row>
    <row r="19" spans="2:29" ht="15.6">
      <c r="B19" s="106" t="s">
        <v>171</v>
      </c>
      <c r="C19" s="107">
        <v>45601.645543981482</v>
      </c>
      <c r="D19" s="135">
        <f>('Bloomberg Raw Data-5th (2)'!C22+'Bloomberg Raw Data-5th (2)'!D22)/2</f>
        <v>0.40500000119209245</v>
      </c>
      <c r="E19" s="135">
        <f>('Bloomberg Raw Data-5th (2)'!J22+'Bloomberg Raw Data-5th (2)'!K22)/2</f>
        <v>4.8500003814697248</v>
      </c>
      <c r="F19" s="109">
        <f t="shared" si="0"/>
        <v>-4.4450003802776319</v>
      </c>
      <c r="G19" s="110">
        <f t="shared" si="3"/>
        <v>101.65</v>
      </c>
      <c r="H19" s="108">
        <f>'Bloomberg Raw Data-5th (2)'!A22</f>
        <v>106</v>
      </c>
      <c r="I19" s="111">
        <f t="shared" si="1"/>
        <v>0.99832372845504969</v>
      </c>
      <c r="J19" s="111">
        <f t="shared" si="4"/>
        <v>105.82231521623527</v>
      </c>
      <c r="K19" s="111">
        <f t="shared" si="2"/>
        <v>-4.1723152162352619</v>
      </c>
      <c r="L19" s="138">
        <f t="shared" si="5"/>
        <v>-0.27268516404236998</v>
      </c>
      <c r="M19" s="142">
        <f t="shared" si="6"/>
        <v>106.22731521742736</v>
      </c>
      <c r="N19" s="142">
        <f t="shared" si="7"/>
        <v>106.50000038146973</v>
      </c>
      <c r="O19" s="142">
        <f t="shared" si="8"/>
        <v>-0.27268516404237175</v>
      </c>
      <c r="P19" s="143" t="str">
        <f t="shared" si="9"/>
        <v>Voilated</v>
      </c>
      <c r="Q19" s="142">
        <f t="shared" si="10"/>
        <v>4.5773152174273548</v>
      </c>
      <c r="R19" s="144" t="str">
        <f t="shared" si="11"/>
        <v>YES</v>
      </c>
      <c r="S19" s="144" t="str">
        <f t="shared" si="12"/>
        <v>NO</v>
      </c>
      <c r="U19" s="162"/>
      <c r="V19" s="163"/>
      <c r="W19" s="163"/>
      <c r="X19" s="173"/>
      <c r="Z19" s="394"/>
      <c r="AA19" s="422"/>
      <c r="AB19" s="423"/>
      <c r="AC19" s="177" t="s">
        <v>172</v>
      </c>
    </row>
    <row r="20" spans="2:29" ht="13.9">
      <c r="B20" s="106" t="s">
        <v>173</v>
      </c>
      <c r="C20" s="107">
        <v>45600.874849537038</v>
      </c>
      <c r="D20" s="135">
        <f>('Bloomberg Raw Data-5th (2)'!C23+'Bloomberg Raw Data-5th (2)'!D23)/2</f>
        <v>0.26500001549720753</v>
      </c>
      <c r="E20" s="135">
        <f>('Bloomberg Raw Data-5th (2)'!J23+'Bloomberg Raw Data-5th (2)'!K23)/2</f>
        <v>5.7250003814697248</v>
      </c>
      <c r="F20" s="109">
        <f t="shared" si="0"/>
        <v>-5.4600003659725171</v>
      </c>
      <c r="G20" s="110">
        <f t="shared" si="3"/>
        <v>101.65</v>
      </c>
      <c r="H20" s="108">
        <f>'Bloomberg Raw Data-5th (2)'!A23</f>
        <v>107</v>
      </c>
      <c r="I20" s="111">
        <f t="shared" si="1"/>
        <v>0.99832372845504969</v>
      </c>
      <c r="J20" s="111">
        <f t="shared" si="4"/>
        <v>106.82063894469032</v>
      </c>
      <c r="K20" s="111">
        <f t="shared" si="2"/>
        <v>-5.1706389446903103</v>
      </c>
      <c r="L20" s="138">
        <f t="shared" si="5"/>
        <v>-0.28936142128220688</v>
      </c>
      <c r="M20" s="142">
        <f t="shared" si="6"/>
        <v>107.08563896018752</v>
      </c>
      <c r="N20" s="142">
        <f t="shared" si="7"/>
        <v>107.37500038146973</v>
      </c>
      <c r="O20" s="142">
        <f t="shared" si="8"/>
        <v>-0.28936142128220865</v>
      </c>
      <c r="P20" s="143" t="str">
        <f t="shared" si="9"/>
        <v>Voilated</v>
      </c>
      <c r="Q20" s="142">
        <f t="shared" si="10"/>
        <v>5.4356389601875179</v>
      </c>
      <c r="R20" s="144" t="str">
        <f t="shared" si="11"/>
        <v>YES</v>
      </c>
      <c r="S20" s="144" t="str">
        <f t="shared" si="12"/>
        <v>NO</v>
      </c>
      <c r="Z20" s="394"/>
      <c r="AA20" s="422"/>
      <c r="AB20" s="423"/>
      <c r="AC20" s="177" t="s">
        <v>174</v>
      </c>
    </row>
    <row r="21" spans="2:29" ht="14.45" customHeight="1">
      <c r="B21" s="106" t="s">
        <v>175</v>
      </c>
      <c r="C21" s="107">
        <v>45601.622557870367</v>
      </c>
      <c r="D21" s="135">
        <f>('Bloomberg Raw Data-5th (2)'!C24+'Bloomberg Raw Data-5th (2)'!D24)/2</f>
        <v>0.18999999761581449</v>
      </c>
      <c r="E21" s="135">
        <f>('Bloomberg Raw Data-5th (2)'!J24+'Bloomberg Raw Data-5th (2)'!K24)/2</f>
        <v>5.9750003814697248</v>
      </c>
      <c r="F21" s="109">
        <f t="shared" si="0"/>
        <v>-5.7850003838539106</v>
      </c>
      <c r="G21" s="110">
        <f t="shared" si="3"/>
        <v>101.65</v>
      </c>
      <c r="H21" s="108">
        <f>'Bloomberg Raw Data-5th (2)'!A24</f>
        <v>108</v>
      </c>
      <c r="I21" s="111">
        <f t="shared" si="1"/>
        <v>0.99832372845504969</v>
      </c>
      <c r="J21" s="111">
        <f t="shared" si="4"/>
        <v>107.81896267314536</v>
      </c>
      <c r="K21" s="111">
        <f t="shared" si="2"/>
        <v>-6.1689626731453586</v>
      </c>
      <c r="L21" s="138">
        <f t="shared" si="5"/>
        <v>0.38396228929144804</v>
      </c>
      <c r="M21" s="142">
        <f t="shared" si="6"/>
        <v>108.00896267076118</v>
      </c>
      <c r="N21" s="142">
        <f t="shared" si="7"/>
        <v>107.62500038146973</v>
      </c>
      <c r="O21" s="142">
        <f t="shared" si="8"/>
        <v>0.38396228929144627</v>
      </c>
      <c r="P21" s="143" t="str">
        <f t="shared" si="9"/>
        <v>Voilated</v>
      </c>
      <c r="Q21" s="142">
        <f t="shared" si="10"/>
        <v>6.3589626707611728</v>
      </c>
      <c r="R21" s="144" t="str">
        <f t="shared" si="11"/>
        <v>NO</v>
      </c>
      <c r="S21" s="144" t="str">
        <f t="shared" si="12"/>
        <v>YES</v>
      </c>
      <c r="Z21" s="394"/>
      <c r="AA21" s="424"/>
      <c r="AB21" s="425"/>
      <c r="AC21" s="177" t="s">
        <v>176</v>
      </c>
    </row>
    <row r="22" spans="2:29" ht="13.9" customHeight="1">
      <c r="B22" s="106" t="s">
        <v>177</v>
      </c>
      <c r="C22" s="107">
        <v>45601.642488425918</v>
      </c>
      <c r="D22" s="135">
        <f>('Bloomberg Raw Data-5th (2)'!C25+'Bloomberg Raw Data-5th (2)'!D25)/2</f>
        <v>0.130000025033951</v>
      </c>
      <c r="E22" s="135">
        <f>('Bloomberg Raw Data-5th (2)'!J25+'Bloomberg Raw Data-5th (2)'!K25)/2</f>
        <v>7.625</v>
      </c>
      <c r="F22" s="109">
        <f t="shared" si="0"/>
        <v>-7.4949999749660492</v>
      </c>
      <c r="G22" s="110">
        <f t="shared" si="3"/>
        <v>101.65</v>
      </c>
      <c r="H22" s="108">
        <f>'Bloomberg Raw Data-5th (2)'!A25</f>
        <v>109</v>
      </c>
      <c r="I22" s="111">
        <f t="shared" si="1"/>
        <v>0.99832372845504969</v>
      </c>
      <c r="J22" s="111">
        <f t="shared" si="4"/>
        <v>108.81728640160041</v>
      </c>
      <c r="K22" s="111">
        <f t="shared" si="2"/>
        <v>-7.167286401600407</v>
      </c>
      <c r="L22" s="138">
        <f t="shared" si="5"/>
        <v>-0.32771357336564222</v>
      </c>
      <c r="M22" s="142">
        <f t="shared" si="6"/>
        <v>108.94728642663436</v>
      </c>
      <c r="N22" s="142">
        <f t="shared" si="7"/>
        <v>109.27500000000001</v>
      </c>
      <c r="O22" s="142">
        <f t="shared" si="8"/>
        <v>-0.32771357336564222</v>
      </c>
      <c r="P22" s="143" t="str">
        <f t="shared" si="9"/>
        <v>Voilated</v>
      </c>
      <c r="Q22" s="142">
        <f t="shared" si="10"/>
        <v>7.2972864266343578</v>
      </c>
      <c r="R22" s="144" t="str">
        <f t="shared" si="11"/>
        <v>YES</v>
      </c>
      <c r="S22" s="144" t="str">
        <f t="shared" si="12"/>
        <v>NO</v>
      </c>
      <c r="Z22" s="154"/>
      <c r="AA22" s="402" t="s">
        <v>110</v>
      </c>
      <c r="AB22" s="403"/>
      <c r="AC22" s="178">
        <f>AC12</f>
        <v>0.20597992646676744</v>
      </c>
    </row>
    <row r="23" spans="2:29" ht="13.9" customHeight="1">
      <c r="B23" s="106" t="s">
        <v>178</v>
      </c>
      <c r="C23" s="107">
        <v>45601.63554398148</v>
      </c>
      <c r="D23" s="135">
        <f>('Bloomberg Raw Data-5th (2)'!C26+'Bloomberg Raw Data-5th (2)'!D26)/2</f>
        <v>0.10500001907348655</v>
      </c>
      <c r="E23" s="135">
        <f>('Bloomberg Raw Data-5th (2)'!J26+'Bloomberg Raw Data-5th (2)'!K26)/2</f>
        <v>8.5999999046325701</v>
      </c>
      <c r="F23" s="109">
        <f t="shared" si="0"/>
        <v>-8.4949998855590838</v>
      </c>
      <c r="G23" s="110">
        <f t="shared" si="3"/>
        <v>101.65</v>
      </c>
      <c r="H23" s="108">
        <f>'Bloomberg Raw Data-5th (2)'!A26</f>
        <v>110</v>
      </c>
      <c r="I23" s="111">
        <f t="shared" si="1"/>
        <v>0.99832372845504969</v>
      </c>
      <c r="J23" s="111">
        <f t="shared" si="4"/>
        <v>109.81561013005546</v>
      </c>
      <c r="K23" s="111">
        <f t="shared" si="2"/>
        <v>-8.1656101300554553</v>
      </c>
      <c r="L23" s="138">
        <f t="shared" si="5"/>
        <v>-0.32938975550362848</v>
      </c>
      <c r="M23" s="142">
        <f t="shared" si="6"/>
        <v>109.92061014912895</v>
      </c>
      <c r="N23" s="142">
        <f t="shared" si="7"/>
        <v>110.24999990463257</v>
      </c>
      <c r="O23" s="142">
        <f t="shared" si="8"/>
        <v>-0.3293897555036267</v>
      </c>
      <c r="P23" s="143" t="str">
        <f t="shared" si="9"/>
        <v>Voilated</v>
      </c>
      <c r="Q23" s="142">
        <f t="shared" si="10"/>
        <v>8.2706101491289417</v>
      </c>
      <c r="R23" s="144" t="str">
        <f t="shared" si="11"/>
        <v>YES</v>
      </c>
      <c r="S23" s="144" t="str">
        <f t="shared" si="12"/>
        <v>NO</v>
      </c>
    </row>
    <row r="24" spans="2:29" ht="13.9" customHeight="1">
      <c r="B24" s="106" t="s">
        <v>179</v>
      </c>
      <c r="C24" s="107">
        <v>45600.772002314807</v>
      </c>
      <c r="D24" s="135">
        <f>('Bloomberg Raw Data-5th (2)'!C27+'Bloomberg Raw Data-5th (2)'!D27)/2</f>
        <v>7.5000016018748297E-2</v>
      </c>
      <c r="E24" s="135">
        <f>('Bloomberg Raw Data-5th (2)'!J27+'Bloomberg Raw Data-5th (2)'!K27)/2</f>
        <v>9.2750000953674299</v>
      </c>
      <c r="F24" s="109">
        <f t="shared" si="0"/>
        <v>-9.2000000793486816</v>
      </c>
      <c r="G24" s="110">
        <f t="shared" si="3"/>
        <v>101.65</v>
      </c>
      <c r="H24" s="108">
        <f>'Bloomberg Raw Data-5th (2)'!A27</f>
        <v>111</v>
      </c>
      <c r="I24" s="111">
        <f t="shared" si="1"/>
        <v>0.99832372845504969</v>
      </c>
      <c r="J24" s="111">
        <f t="shared" si="4"/>
        <v>110.81393385851051</v>
      </c>
      <c r="K24" s="111">
        <f t="shared" si="2"/>
        <v>-9.1639338585105037</v>
      </c>
      <c r="L24" s="138">
        <f t="shared" si="5"/>
        <v>-3.6066220838177898E-2</v>
      </c>
      <c r="M24" s="142">
        <f t="shared" si="6"/>
        <v>110.88893387452926</v>
      </c>
      <c r="N24" s="142">
        <f t="shared" si="7"/>
        <v>110.92500009536744</v>
      </c>
      <c r="O24" s="142">
        <f t="shared" si="8"/>
        <v>-3.6066220838179675E-2</v>
      </c>
      <c r="P24" s="143" t="str">
        <f t="shared" si="9"/>
        <v>Voilated</v>
      </c>
      <c r="Q24" s="142">
        <f t="shared" si="10"/>
        <v>9.238933874529252</v>
      </c>
      <c r="R24" s="144" t="str">
        <f t="shared" si="11"/>
        <v>YES</v>
      </c>
      <c r="S24" s="144" t="str">
        <f t="shared" si="12"/>
        <v>NO</v>
      </c>
    </row>
    <row r="25" spans="2:29" ht="13.9" customHeight="1">
      <c r="B25" s="106" t="s">
        <v>180</v>
      </c>
      <c r="C25" s="107">
        <v>45600.80269675926</v>
      </c>
      <c r="D25" s="135">
        <f>('Bloomberg Raw Data-5th (2)'!C28+'Bloomberg Raw Data-5th (2)'!D28)/2</f>
        <v>0.1299999952316285</v>
      </c>
      <c r="E25" s="135">
        <f>('Bloomberg Raw Data-5th (2)'!J28+'Bloomberg Raw Data-5th (2)'!K28)/2</f>
        <v>10.5250000953674</v>
      </c>
      <c r="F25" s="109">
        <f t="shared" si="0"/>
        <v>-10.395000100135771</v>
      </c>
      <c r="G25" s="110">
        <f t="shared" si="3"/>
        <v>101.65</v>
      </c>
      <c r="H25" s="108">
        <f>'Bloomberg Raw Data-5th (2)'!A28</f>
        <v>112</v>
      </c>
      <c r="I25" s="111">
        <f t="shared" si="1"/>
        <v>0.99832372845504969</v>
      </c>
      <c r="J25" s="111">
        <f t="shared" si="4"/>
        <v>111.81225758696556</v>
      </c>
      <c r="K25" s="111">
        <f t="shared" si="2"/>
        <v>-10.162257586965552</v>
      </c>
      <c r="L25" s="138">
        <f t="shared" si="5"/>
        <v>-0.23274251317021921</v>
      </c>
      <c r="M25" s="142">
        <f t="shared" si="6"/>
        <v>111.94225758219719</v>
      </c>
      <c r="N25" s="142">
        <f t="shared" si="7"/>
        <v>112.17500009536741</v>
      </c>
      <c r="O25" s="142">
        <f t="shared" si="8"/>
        <v>-0.23274251317022276</v>
      </c>
      <c r="P25" s="143" t="str">
        <f t="shared" si="9"/>
        <v>Voilated</v>
      </c>
      <c r="Q25" s="142">
        <f t="shared" si="10"/>
        <v>10.29225758219718</v>
      </c>
      <c r="R25" s="144" t="str">
        <f t="shared" si="11"/>
        <v>YES</v>
      </c>
      <c r="S25" s="144" t="str">
        <f t="shared" si="12"/>
        <v>NO</v>
      </c>
    </row>
    <row r="26" spans="2:29" ht="23.45" customHeight="1">
      <c r="B26" s="106" t="s">
        <v>181</v>
      </c>
      <c r="C26" s="107">
        <v>45600.657129629632</v>
      </c>
      <c r="D26" s="135">
        <f>('Bloomberg Raw Data-5th (2)'!C29+'Bloomberg Raw Data-5th (2)'!D29)/2</f>
        <v>0.20000001788139349</v>
      </c>
      <c r="E26" s="135">
        <f>('Bloomberg Raw Data-5th (2)'!J29+'Bloomberg Raw Data-5th (2)'!K29)/2</f>
        <v>11.7249999046326</v>
      </c>
      <c r="F26" s="109">
        <f t="shared" si="0"/>
        <v>-11.524999886751207</v>
      </c>
      <c r="G26" s="110">
        <f t="shared" si="3"/>
        <v>101.65</v>
      </c>
      <c r="H26" s="108">
        <f>'Bloomberg Raw Data-5th (2)'!A29</f>
        <v>113</v>
      </c>
      <c r="I26" s="111">
        <f t="shared" si="1"/>
        <v>0.99832372845504969</v>
      </c>
      <c r="J26" s="111">
        <f t="shared" si="4"/>
        <v>112.81058131542062</v>
      </c>
      <c r="K26" s="111">
        <f t="shared" si="2"/>
        <v>-11.160581315420615</v>
      </c>
      <c r="L26" s="138">
        <f t="shared" si="5"/>
        <v>-0.3644185713305923</v>
      </c>
      <c r="M26" s="142">
        <f t="shared" si="6"/>
        <v>113.01058133330201</v>
      </c>
      <c r="N26" s="142">
        <f t="shared" si="7"/>
        <v>113.3749999046326</v>
      </c>
      <c r="O26" s="142">
        <f t="shared" si="8"/>
        <v>-0.36441857133058875</v>
      </c>
      <c r="P26" s="143" t="str">
        <f t="shared" si="9"/>
        <v>Voilated</v>
      </c>
      <c r="Q26" s="142">
        <f t="shared" si="10"/>
        <v>11.360581333302008</v>
      </c>
      <c r="R26" s="144" t="str">
        <f t="shared" si="11"/>
        <v>YES</v>
      </c>
      <c r="S26" s="144" t="str">
        <f t="shared" si="12"/>
        <v>NO</v>
      </c>
    </row>
    <row r="27" spans="2:29" ht="13.9" customHeight="1">
      <c r="B27" s="106" t="s">
        <v>182</v>
      </c>
      <c r="C27" s="107">
        <v>45600.707881944443</v>
      </c>
      <c r="D27" s="135">
        <f>('Bloomberg Raw Data-5th (2)'!C30+'Bloomberg Raw Data-5th (2)'!D30)/2</f>
        <v>7.0000002160668595E-2</v>
      </c>
      <c r="E27" s="135">
        <f>('Bloomberg Raw Data-5th (2)'!J30+'Bloomberg Raw Data-5th (2)'!K30)/2</f>
        <v>12.5499997138977</v>
      </c>
      <c r="F27" s="109">
        <f t="shared" si="0"/>
        <v>-12.479999711737031</v>
      </c>
      <c r="G27" s="110">
        <f t="shared" si="3"/>
        <v>101.65</v>
      </c>
      <c r="H27" s="108">
        <f>'Bloomberg Raw Data-5th (2)'!A30</f>
        <v>114</v>
      </c>
      <c r="I27" s="111">
        <f t="shared" si="1"/>
        <v>0.99832372845504969</v>
      </c>
      <c r="J27" s="111">
        <f t="shared" si="4"/>
        <v>113.80890504387567</v>
      </c>
      <c r="K27" s="111">
        <f t="shared" si="2"/>
        <v>-12.158905043875663</v>
      </c>
      <c r="L27" s="138">
        <f t="shared" si="5"/>
        <v>-0.32109466786136842</v>
      </c>
      <c r="M27" s="142">
        <f t="shared" si="6"/>
        <v>113.87890504603634</v>
      </c>
      <c r="N27" s="142">
        <f t="shared" si="7"/>
        <v>114.19999971389771</v>
      </c>
      <c r="O27" s="142">
        <f t="shared" si="8"/>
        <v>-0.32109466786137375</v>
      </c>
      <c r="P27" s="143" t="str">
        <f t="shared" si="9"/>
        <v>Voilated</v>
      </c>
      <c r="Q27" s="142">
        <f t="shared" si="10"/>
        <v>12.228905046036331</v>
      </c>
      <c r="R27" s="144" t="str">
        <f t="shared" si="11"/>
        <v>YES</v>
      </c>
      <c r="S27" s="144" t="str">
        <f t="shared" si="12"/>
        <v>NO</v>
      </c>
    </row>
    <row r="28" spans="2:29" ht="13.9">
      <c r="B28" s="106" t="s">
        <v>183</v>
      </c>
      <c r="C28" s="107">
        <v>45601.639826388891</v>
      </c>
      <c r="D28" s="135">
        <f>('Bloomberg Raw Data-5th (2)'!C31+'Bloomberg Raw Data-5th (2)'!D31)/2</f>
        <v>2.5000000372529051E-2</v>
      </c>
      <c r="E28" s="135">
        <f>('Bloomberg Raw Data-5th (2)'!J31+'Bloomberg Raw Data-5th (2)'!K31)/2</f>
        <v>13.324999809265099</v>
      </c>
      <c r="F28" s="109">
        <f t="shared" si="0"/>
        <v>-13.29999980889257</v>
      </c>
      <c r="G28" s="110">
        <f t="shared" si="3"/>
        <v>101.65</v>
      </c>
      <c r="H28" s="108">
        <f>'Bloomberg Raw Data-5th (2)'!A31</f>
        <v>115</v>
      </c>
      <c r="I28" s="111">
        <f t="shared" si="1"/>
        <v>0.99832372845504969</v>
      </c>
      <c r="J28" s="111">
        <f t="shared" si="4"/>
        <v>114.80722877233072</v>
      </c>
      <c r="K28" s="111">
        <f t="shared" si="2"/>
        <v>-13.157228772330711</v>
      </c>
      <c r="L28" s="138">
        <f t="shared" si="5"/>
        <v>-0.14277103656185908</v>
      </c>
      <c r="M28" s="142">
        <f t="shared" si="6"/>
        <v>114.83222877270325</v>
      </c>
      <c r="N28" s="142">
        <f t="shared" si="7"/>
        <v>114.9749998092651</v>
      </c>
      <c r="O28" s="142">
        <f t="shared" si="8"/>
        <v>-0.14277103656185375</v>
      </c>
      <c r="P28" s="143" t="str">
        <f t="shared" si="9"/>
        <v>Voilated</v>
      </c>
      <c r="Q28" s="142">
        <f t="shared" si="10"/>
        <v>13.18222877270324</v>
      </c>
      <c r="R28" s="144" t="str">
        <f t="shared" si="11"/>
        <v>YES</v>
      </c>
      <c r="S28" s="144" t="str">
        <f t="shared" si="12"/>
        <v>NO</v>
      </c>
    </row>
    <row r="29" spans="2:29" ht="13.9">
      <c r="B29" s="106" t="s">
        <v>184</v>
      </c>
      <c r="C29" s="107">
        <v>45595.831689814811</v>
      </c>
      <c r="D29" s="135">
        <f>('Bloomberg Raw Data-5th (2)'!C32+'Bloomberg Raw Data-5th (2)'!D32)/2</f>
        <v>6.5000003203749851E-2</v>
      </c>
      <c r="E29" s="135">
        <f>('Bloomberg Raw Data-5th (2)'!J32+'Bloomberg Raw Data-5th (2)'!K32)/2</f>
        <v>14.625</v>
      </c>
      <c r="F29" s="109">
        <f t="shared" si="0"/>
        <v>-14.55999999679625</v>
      </c>
      <c r="G29" s="110">
        <f t="shared" si="3"/>
        <v>101.65</v>
      </c>
      <c r="H29" s="108">
        <f>'Bloomberg Raw Data-5th (2)'!A32</f>
        <v>116</v>
      </c>
      <c r="I29" s="111">
        <f t="shared" si="1"/>
        <v>0.99832372845504969</v>
      </c>
      <c r="J29" s="111">
        <f t="shared" si="4"/>
        <v>115.80555250078577</v>
      </c>
      <c r="K29" s="111">
        <f t="shared" si="2"/>
        <v>-14.15555250078576</v>
      </c>
      <c r="L29" s="138">
        <f t="shared" si="5"/>
        <v>-0.40444749601049068</v>
      </c>
      <c r="M29" s="142">
        <f t="shared" si="6"/>
        <v>115.87055250398952</v>
      </c>
      <c r="N29" s="142">
        <f t="shared" si="7"/>
        <v>116.27500000000001</v>
      </c>
      <c r="O29" s="142">
        <f t="shared" si="8"/>
        <v>-0.40444749601049068</v>
      </c>
      <c r="P29" s="143" t="str">
        <f t="shared" si="9"/>
        <v>Voilated</v>
      </c>
      <c r="Q29" s="142">
        <f t="shared" si="10"/>
        <v>14.220552503989509</v>
      </c>
      <c r="R29" s="144" t="str">
        <f t="shared" si="11"/>
        <v>YES</v>
      </c>
      <c r="S29" s="144" t="str">
        <f t="shared" si="12"/>
        <v>NO</v>
      </c>
    </row>
    <row r="30" spans="2:29" ht="13.9">
      <c r="B30" s="106" t="s">
        <v>185</v>
      </c>
      <c r="C30" s="107">
        <v>45595.815451388888</v>
      </c>
      <c r="D30" s="135">
        <f>('Bloomberg Raw Data-5th (2)'!C33+'Bloomberg Raw Data-5th (2)'!D33)/2</f>
        <v>0.15999999642372151</v>
      </c>
      <c r="E30" s="135">
        <f>('Bloomberg Raw Data-5th (2)'!J33+'Bloomberg Raw Data-5th (2)'!K33)/2</f>
        <v>16.000002861022949</v>
      </c>
      <c r="F30" s="109">
        <f t="shared" si="0"/>
        <v>-15.840002864599228</v>
      </c>
      <c r="G30" s="110">
        <f t="shared" si="3"/>
        <v>101.65</v>
      </c>
      <c r="H30" s="108">
        <f>'Bloomberg Raw Data-5th (2)'!A33</f>
        <v>117</v>
      </c>
      <c r="I30" s="111">
        <f t="shared" si="1"/>
        <v>0.99832372845504969</v>
      </c>
      <c r="J30" s="111">
        <f t="shared" si="4"/>
        <v>116.80387622924081</v>
      </c>
      <c r="K30" s="111">
        <f t="shared" si="2"/>
        <v>-15.153876229240808</v>
      </c>
      <c r="L30" s="138">
        <f t="shared" si="5"/>
        <v>-0.68612663535841989</v>
      </c>
      <c r="M30" s="142">
        <f t="shared" si="6"/>
        <v>116.96387622566454</v>
      </c>
      <c r="N30" s="142">
        <f t="shared" si="7"/>
        <v>117.65000286102295</v>
      </c>
      <c r="O30" s="142">
        <f t="shared" si="8"/>
        <v>-0.68612663535841989</v>
      </c>
      <c r="P30" s="143" t="str">
        <f t="shared" si="9"/>
        <v>Voilated</v>
      </c>
      <c r="Q30" s="142">
        <f t="shared" si="10"/>
        <v>15.313876225664529</v>
      </c>
      <c r="R30" s="144" t="str">
        <f t="shared" si="11"/>
        <v>YES</v>
      </c>
      <c r="S30" s="144" t="str">
        <f t="shared" si="12"/>
        <v>NO</v>
      </c>
    </row>
    <row r="31" spans="2:29" ht="13.9">
      <c r="B31" s="106" t="s">
        <v>186</v>
      </c>
      <c r="C31" s="107">
        <v>45595.807719907411</v>
      </c>
      <c r="D31" s="135">
        <f>('Bloomberg Raw Data-5th (2)'!C34+'Bloomberg Raw Data-5th (2)'!D34)/2</f>
        <v>5.0000011920928997E-2</v>
      </c>
      <c r="E31" s="135">
        <f>('Bloomberg Raw Data-5th (2)'!J34+'Bloomberg Raw Data-5th (2)'!K34)/2</f>
        <v>16.099997043609651</v>
      </c>
      <c r="F31" s="109">
        <f t="shared" si="0"/>
        <v>-16.049997031688722</v>
      </c>
      <c r="G31" s="110">
        <f t="shared" si="3"/>
        <v>101.65</v>
      </c>
      <c r="H31" s="108">
        <f>'Bloomberg Raw Data-5th (2)'!A34</f>
        <v>118</v>
      </c>
      <c r="I31" s="111">
        <f t="shared" si="1"/>
        <v>0.99832372845504969</v>
      </c>
      <c r="J31" s="111">
        <f t="shared" si="4"/>
        <v>117.80219995769586</v>
      </c>
      <c r="K31" s="111">
        <f t="shared" si="2"/>
        <v>-16.152199957695856</v>
      </c>
      <c r="L31" s="138">
        <f t="shared" si="5"/>
        <v>0.10220292600713421</v>
      </c>
      <c r="M31" s="142">
        <f t="shared" si="6"/>
        <v>117.85219996961679</v>
      </c>
      <c r="N31" s="142">
        <f t="shared" si="7"/>
        <v>117.74999704360965</v>
      </c>
      <c r="O31" s="142">
        <f t="shared" si="8"/>
        <v>0.10220292600713776</v>
      </c>
      <c r="P31" s="143" t="str">
        <f t="shared" si="9"/>
        <v>Voilated</v>
      </c>
      <c r="Q31" s="142">
        <f t="shared" si="10"/>
        <v>16.202199969616785</v>
      </c>
      <c r="R31" s="144" t="str">
        <f t="shared" si="11"/>
        <v>NO</v>
      </c>
      <c r="S31" s="144" t="str">
        <f t="shared" si="12"/>
        <v>YES</v>
      </c>
    </row>
    <row r="32" spans="2:29" ht="13.9" customHeight="1">
      <c r="B32" s="106" t="s">
        <v>187</v>
      </c>
      <c r="C32" s="107">
        <v>45590.581770833327</v>
      </c>
      <c r="D32" s="135">
        <f>('Bloomberg Raw Data-5th (2)'!C35+'Bloomberg Raw Data-5th (2)'!D35)/2</f>
        <v>0.15000000596046451</v>
      </c>
      <c r="E32" s="135">
        <f>('Bloomberg Raw Data-5th (2)'!J35+'Bloomberg Raw Data-5th (2)'!K35)/2</f>
        <v>17.8999938964844</v>
      </c>
      <c r="F32" s="109">
        <f t="shared" si="0"/>
        <v>-17.749993890523935</v>
      </c>
      <c r="G32" s="110">
        <f t="shared" si="3"/>
        <v>101.65</v>
      </c>
      <c r="H32" s="108">
        <f>'Bloomberg Raw Data-5th (2)'!A35</f>
        <v>119</v>
      </c>
      <c r="I32" s="111">
        <f t="shared" si="1"/>
        <v>0.99832372845504969</v>
      </c>
      <c r="J32" s="111">
        <f t="shared" si="4"/>
        <v>118.80052368615091</v>
      </c>
      <c r="K32" s="111">
        <f t="shared" si="2"/>
        <v>-17.150523686150905</v>
      </c>
      <c r="L32" s="138">
        <f t="shared" si="5"/>
        <v>-0.59947020437303067</v>
      </c>
      <c r="M32" s="142">
        <f t="shared" si="6"/>
        <v>118.95052369211137</v>
      </c>
      <c r="N32" s="142">
        <f t="shared" si="7"/>
        <v>119.54999389648441</v>
      </c>
      <c r="O32" s="142">
        <f t="shared" si="8"/>
        <v>-0.59947020437303422</v>
      </c>
      <c r="P32" s="143" t="str">
        <f t="shared" si="9"/>
        <v>Voilated</v>
      </c>
      <c r="Q32" s="142">
        <f t="shared" si="10"/>
        <v>17.300523692111369</v>
      </c>
      <c r="R32" s="144" t="str">
        <f t="shared" si="11"/>
        <v>YES</v>
      </c>
      <c r="S32" s="144" t="str">
        <f t="shared" si="12"/>
        <v>NO</v>
      </c>
    </row>
    <row r="33" spans="1:21" ht="13.9" customHeight="1">
      <c r="B33" s="106" t="s">
        <v>188</v>
      </c>
      <c r="C33" s="107">
        <v>45600.843090277784</v>
      </c>
      <c r="D33" s="135">
        <f>('Bloomberg Raw Data-5th (2)'!C36+'Bloomberg Raw Data-5th (2)'!D36)/2</f>
        <v>1.5000000596046449E-2</v>
      </c>
      <c r="E33" s="135">
        <f>('Bloomberg Raw Data-5th (2)'!J36+'Bloomberg Raw Data-5th (2)'!K36)/2</f>
        <v>18.5</v>
      </c>
      <c r="F33" s="109">
        <f t="shared" si="0"/>
        <v>-18.484999999403954</v>
      </c>
      <c r="G33" s="110">
        <f t="shared" si="3"/>
        <v>101.65</v>
      </c>
      <c r="H33" s="108">
        <f>'Bloomberg Raw Data-5th (2)'!A36</f>
        <v>120</v>
      </c>
      <c r="I33" s="111">
        <f t="shared" si="1"/>
        <v>0.99832372845504969</v>
      </c>
      <c r="J33" s="111">
        <f t="shared" si="4"/>
        <v>119.79884741460596</v>
      </c>
      <c r="K33" s="111">
        <f t="shared" si="2"/>
        <v>-18.148847414605953</v>
      </c>
      <c r="L33" s="138">
        <f t="shared" si="5"/>
        <v>-0.33615258479800048</v>
      </c>
      <c r="M33" s="142">
        <f t="shared" si="6"/>
        <v>119.81384741520201</v>
      </c>
      <c r="N33" s="142">
        <f t="shared" si="7"/>
        <v>120.15</v>
      </c>
      <c r="O33" s="142">
        <f t="shared" si="8"/>
        <v>-0.33615258479800048</v>
      </c>
      <c r="P33" s="143" t="str">
        <f t="shared" si="9"/>
        <v>Voilated</v>
      </c>
      <c r="Q33" s="142">
        <f t="shared" si="10"/>
        <v>18.163847415202</v>
      </c>
      <c r="R33" s="144" t="str">
        <f t="shared" si="11"/>
        <v>YES</v>
      </c>
      <c r="S33" s="144" t="str">
        <f t="shared" si="12"/>
        <v>NO</v>
      </c>
    </row>
    <row r="34" spans="1:21" ht="13.9" customHeight="1">
      <c r="B34" s="106" t="s">
        <v>189</v>
      </c>
      <c r="C34" s="107">
        <v>45601.605486111112</v>
      </c>
      <c r="D34" s="135">
        <f>('Bloomberg Raw Data-5th (2)'!C37+'Bloomberg Raw Data-5th (2)'!D37)/2</f>
        <v>0.135000020265579</v>
      </c>
      <c r="E34" s="135">
        <f>('Bloomberg Raw Data-5th (2)'!J37+'Bloomberg Raw Data-5th (2)'!K37)/2</f>
        <v>20.0249938964844</v>
      </c>
      <c r="F34" s="109">
        <f t="shared" si="0"/>
        <v>-19.889993876218821</v>
      </c>
      <c r="G34" s="110">
        <f t="shared" si="3"/>
        <v>101.65</v>
      </c>
      <c r="H34" s="108">
        <f>'Bloomberg Raw Data-5th (2)'!A37</f>
        <v>121</v>
      </c>
      <c r="I34" s="111">
        <f t="shared" si="1"/>
        <v>0.99832372845504969</v>
      </c>
      <c r="J34" s="111">
        <f t="shared" si="4"/>
        <v>120.79717114306101</v>
      </c>
      <c r="K34" s="111">
        <f t="shared" si="2"/>
        <v>-19.147171143061001</v>
      </c>
      <c r="L34" s="138">
        <f t="shared" si="5"/>
        <v>-0.74282273315781921</v>
      </c>
      <c r="M34" s="142">
        <f t="shared" si="6"/>
        <v>120.93217116332659</v>
      </c>
      <c r="N34" s="142">
        <f t="shared" si="7"/>
        <v>121.67499389648441</v>
      </c>
      <c r="O34" s="142">
        <f t="shared" si="8"/>
        <v>-0.74282273315782277</v>
      </c>
      <c r="P34" s="143" t="str">
        <f t="shared" si="9"/>
        <v>Voilated</v>
      </c>
      <c r="Q34" s="142">
        <f t="shared" si="10"/>
        <v>19.282171163326581</v>
      </c>
      <c r="R34" s="144" t="str">
        <f t="shared" si="11"/>
        <v>YES</v>
      </c>
      <c r="S34" s="144" t="str">
        <f t="shared" si="12"/>
        <v>NO</v>
      </c>
    </row>
    <row r="35" spans="1:21" ht="13.9" customHeight="1">
      <c r="B35" s="106" t="s">
        <v>190</v>
      </c>
      <c r="C35" s="107">
        <v>45590.648333333331</v>
      </c>
      <c r="D35" s="135">
        <f>('Bloomberg Raw Data-5th (2)'!C38+'Bloomberg Raw Data-5th (2)'!D38)/2</f>
        <v>0.145000010728836</v>
      </c>
      <c r="E35" s="135">
        <f>('Bloomberg Raw Data-5th (2)'!J38+'Bloomberg Raw Data-5th (2)'!K38)/2</f>
        <v>19.950004577636697</v>
      </c>
      <c r="F35" s="109">
        <f t="shared" si="0"/>
        <v>-19.805004566907861</v>
      </c>
      <c r="G35" s="110">
        <f t="shared" si="3"/>
        <v>101.65</v>
      </c>
      <c r="H35" s="108">
        <f>'Bloomberg Raw Data-5th (2)'!A38</f>
        <v>122</v>
      </c>
      <c r="I35" s="111">
        <f t="shared" si="1"/>
        <v>0.99832372845504969</v>
      </c>
      <c r="J35" s="111">
        <f t="shared" si="4"/>
        <v>121.79549487151606</v>
      </c>
      <c r="K35" s="111">
        <f t="shared" si="2"/>
        <v>-20.14549487151605</v>
      </c>
      <c r="L35" s="138">
        <f t="shared" si="5"/>
        <v>0.34049030460818841</v>
      </c>
      <c r="M35" s="142">
        <f t="shared" si="6"/>
        <v>121.94049488224489</v>
      </c>
      <c r="N35" s="142">
        <f t="shared" si="7"/>
        <v>121.6000045776367</v>
      </c>
      <c r="O35" s="142">
        <f t="shared" si="8"/>
        <v>0.34049030460819552</v>
      </c>
      <c r="P35" s="143" t="str">
        <f t="shared" si="9"/>
        <v>Voilated</v>
      </c>
      <c r="Q35" s="142">
        <f t="shared" si="10"/>
        <v>20.290494882244886</v>
      </c>
      <c r="R35" s="144" t="str">
        <f t="shared" si="11"/>
        <v>NO</v>
      </c>
      <c r="S35" s="144" t="str">
        <f t="shared" si="12"/>
        <v>YES</v>
      </c>
    </row>
    <row r="36" spans="1:21" ht="13.9" customHeight="1">
      <c r="B36" s="106" t="s">
        <v>191</v>
      </c>
      <c r="C36" s="107">
        <v>45601.636354166672</v>
      </c>
      <c r="D36" s="135">
        <f>('Bloomberg Raw Data-5th (2)'!C39+'Bloomberg Raw Data-5th (2)'!D39)/2</f>
        <v>1.5000000596046449E-2</v>
      </c>
      <c r="E36" s="135">
        <f>('Bloomberg Raw Data-5th (2)'!J39+'Bloomberg Raw Data-5th (2)'!K39)/2</f>
        <v>23</v>
      </c>
      <c r="F36" s="109">
        <f t="shared" si="0"/>
        <v>-22.984999999403954</v>
      </c>
      <c r="G36" s="110">
        <f t="shared" si="3"/>
        <v>101.65</v>
      </c>
      <c r="H36" s="108">
        <f>'Bloomberg Raw Data-5th (2)'!A39</f>
        <v>125</v>
      </c>
      <c r="I36" s="111">
        <f t="shared" si="1"/>
        <v>0.99832372845504969</v>
      </c>
      <c r="J36" s="111">
        <f t="shared" si="4"/>
        <v>124.79046605688121</v>
      </c>
      <c r="K36" s="111">
        <f t="shared" si="2"/>
        <v>-23.140466056881209</v>
      </c>
      <c r="L36" s="138">
        <f t="shared" si="5"/>
        <v>0.1554660574772555</v>
      </c>
      <c r="M36" s="142">
        <f t="shared" si="6"/>
        <v>124.80546605747726</v>
      </c>
      <c r="N36" s="142">
        <f t="shared" si="7"/>
        <v>124.65</v>
      </c>
      <c r="O36" s="142">
        <f t="shared" si="8"/>
        <v>0.1554660574772555</v>
      </c>
      <c r="P36" s="143" t="str">
        <f t="shared" si="9"/>
        <v>Voilated</v>
      </c>
      <c r="Q36" s="142">
        <f t="shared" si="10"/>
        <v>23.155466057477256</v>
      </c>
      <c r="R36" s="144" t="str">
        <f t="shared" si="11"/>
        <v>NO</v>
      </c>
      <c r="S36" s="144" t="str">
        <f t="shared" si="12"/>
        <v>YES</v>
      </c>
    </row>
    <row r="37" spans="1:21" ht="13.9" customHeight="1">
      <c r="B37" s="106" t="s">
        <v>192</v>
      </c>
      <c r="C37" s="107">
        <v>45600.702685185177</v>
      </c>
      <c r="D37" s="135">
        <f>('Bloomberg Raw Data-5th (2)'!C40+'Bloomberg Raw Data-5th (2)'!D40)/2</f>
        <v>1.999999955296515E-2</v>
      </c>
      <c r="E37" s="135">
        <f>('Bloomberg Raw Data-5th (2)'!J40+'Bloomberg Raw Data-5th (2)'!K40)/2</f>
        <v>28.8999938964844</v>
      </c>
      <c r="F37" s="109">
        <f t="shared" si="0"/>
        <v>-28.879993896931435</v>
      </c>
      <c r="G37" s="110">
        <f t="shared" si="3"/>
        <v>101.65</v>
      </c>
      <c r="H37" s="108">
        <f>'Bloomberg Raw Data-5th (2)'!A40</f>
        <v>130</v>
      </c>
      <c r="I37" s="111">
        <f t="shared" si="1"/>
        <v>0.99832372845504969</v>
      </c>
      <c r="J37" s="111">
        <f t="shared" si="4"/>
        <v>129.78208469915646</v>
      </c>
      <c r="K37" s="111">
        <f t="shared" si="2"/>
        <v>-28.132084699156451</v>
      </c>
      <c r="L37" s="138">
        <f t="shared" si="5"/>
        <v>-0.74790919777498388</v>
      </c>
      <c r="M37" s="142">
        <f t="shared" si="6"/>
        <v>129.80208469870942</v>
      </c>
      <c r="N37" s="142">
        <f t="shared" si="7"/>
        <v>130.54999389648441</v>
      </c>
      <c r="O37" s="142">
        <f t="shared" si="8"/>
        <v>-0.74790919777498743</v>
      </c>
      <c r="P37" s="143" t="str">
        <f t="shared" si="9"/>
        <v>Voilated</v>
      </c>
      <c r="Q37" s="142">
        <f t="shared" si="10"/>
        <v>28.152084698709416</v>
      </c>
      <c r="R37" s="144" t="str">
        <f t="shared" si="11"/>
        <v>YES</v>
      </c>
      <c r="S37" s="144" t="str">
        <f t="shared" si="12"/>
        <v>NO</v>
      </c>
    </row>
    <row r="38" spans="1:21" ht="13.9">
      <c r="B38" s="106" t="s">
        <v>193</v>
      </c>
      <c r="C38" s="107">
        <v>45600.627835648149</v>
      </c>
      <c r="D38" s="135">
        <f>('Bloomberg Raw Data-5th (2)'!C41+'Bloomberg Raw Data-5th (2)'!D41)/2</f>
        <v>0.1400000154972075</v>
      </c>
      <c r="E38" s="135">
        <f>('Bloomberg Raw Data-5th (2)'!J41+'Bloomberg Raw Data-5th (2)'!K41)/2</f>
        <v>33.599998474121101</v>
      </c>
      <c r="F38" s="109">
        <f t="shared" si="0"/>
        <v>-33.459998458623893</v>
      </c>
      <c r="G38" s="110">
        <f t="shared" si="3"/>
        <v>101.65</v>
      </c>
      <c r="H38" s="108">
        <f>'Bloomberg Raw Data-5th (2)'!A41</f>
        <v>135</v>
      </c>
      <c r="I38" s="111">
        <f t="shared" si="1"/>
        <v>0.99832372845504969</v>
      </c>
      <c r="J38" s="111">
        <f t="shared" si="4"/>
        <v>134.77370334143171</v>
      </c>
      <c r="K38" s="111">
        <f t="shared" si="2"/>
        <v>-33.123703341431707</v>
      </c>
      <c r="L38" s="138">
        <f t="shared" si="5"/>
        <v>-0.33629511719218641</v>
      </c>
      <c r="M38" s="142">
        <f t="shared" si="6"/>
        <v>134.91370335692892</v>
      </c>
      <c r="N38" s="142">
        <f t="shared" si="7"/>
        <v>135.2499984741211</v>
      </c>
      <c r="O38" s="142">
        <f t="shared" si="8"/>
        <v>-0.3362951171921793</v>
      </c>
      <c r="P38" s="143" t="str">
        <f t="shared" si="9"/>
        <v>Voilated</v>
      </c>
      <c r="Q38" s="142">
        <f t="shared" si="10"/>
        <v>33.263703356928914</v>
      </c>
      <c r="R38" s="144" t="str">
        <f t="shared" si="11"/>
        <v>YES</v>
      </c>
      <c r="S38" s="144" t="str">
        <f t="shared" si="12"/>
        <v>NO</v>
      </c>
    </row>
    <row r="39" spans="1:21" ht="66.599999999999994" customHeight="1">
      <c r="B39" s="106" t="s">
        <v>194</v>
      </c>
      <c r="C39" s="107">
        <v>45560.830555555563</v>
      </c>
      <c r="D39" s="135">
        <f>('Bloomberg Raw Data-5th (2)'!C42+'Bloomberg Raw Data-5th (2)'!D42)/2</f>
        <v>0.1400000154972075</v>
      </c>
      <c r="E39" s="135">
        <f>('Bloomberg Raw Data-5th (2)'!J42+'Bloomberg Raw Data-5th (2)'!K42)/2</f>
        <v>38.649993896484403</v>
      </c>
      <c r="F39" s="109">
        <f t="shared" si="0"/>
        <v>-38.509993880987196</v>
      </c>
      <c r="G39" s="110">
        <f t="shared" si="3"/>
        <v>101.65</v>
      </c>
      <c r="H39" s="108">
        <f>'Bloomberg Raw Data-5th (2)'!A42</f>
        <v>140</v>
      </c>
      <c r="I39" s="111">
        <f t="shared" si="1"/>
        <v>0.99832372845504969</v>
      </c>
      <c r="J39" s="111">
        <f t="shared" si="4"/>
        <v>139.76532198370697</v>
      </c>
      <c r="K39" s="111">
        <f t="shared" si="2"/>
        <v>-38.115321983706963</v>
      </c>
      <c r="L39" s="138">
        <f t="shared" si="5"/>
        <v>-0.394671897280233</v>
      </c>
      <c r="M39" s="142">
        <f t="shared" si="6"/>
        <v>139.90532199920418</v>
      </c>
      <c r="N39" s="142">
        <f t="shared" si="7"/>
        <v>140.29999389648441</v>
      </c>
      <c r="O39" s="142">
        <f t="shared" si="8"/>
        <v>-0.394671897280233</v>
      </c>
      <c r="P39" s="143" t="str">
        <f t="shared" si="9"/>
        <v>Voilated</v>
      </c>
      <c r="Q39" s="142">
        <f t="shared" si="10"/>
        <v>38.25532199920417</v>
      </c>
      <c r="R39" s="144" t="str">
        <f t="shared" si="11"/>
        <v>YES</v>
      </c>
      <c r="S39" s="144" t="str">
        <f t="shared" si="12"/>
        <v>NO</v>
      </c>
    </row>
    <row r="40" spans="1:21" ht="33.6" customHeight="1">
      <c r="B40" s="106" t="s">
        <v>195</v>
      </c>
      <c r="C40" s="107">
        <v>45558.609224537038</v>
      </c>
      <c r="D40" s="135">
        <f>('Bloomberg Raw Data-5th (2)'!C43+'Bloomberg Raw Data-5th (2)'!D43)/2</f>
        <v>0.1399999856948855</v>
      </c>
      <c r="E40" s="135">
        <f>('Bloomberg Raw Data-5th (2)'!J43+'Bloomberg Raw Data-5th (2)'!K43)/2</f>
        <v>43.525001525878899</v>
      </c>
      <c r="F40" s="109">
        <f t="shared" si="0"/>
        <v>-43.385001540184014</v>
      </c>
      <c r="G40" s="110">
        <f t="shared" si="3"/>
        <v>101.65</v>
      </c>
      <c r="H40" s="108">
        <f>'Bloomberg Raw Data-5th (2)'!A43</f>
        <v>145</v>
      </c>
      <c r="I40" s="111">
        <f t="shared" si="1"/>
        <v>0.99832372845504969</v>
      </c>
      <c r="J40" s="111">
        <f t="shared" si="4"/>
        <v>144.7569406259822</v>
      </c>
      <c r="K40" s="111">
        <f t="shared" si="2"/>
        <v>-43.10694062598219</v>
      </c>
      <c r="L40" s="138">
        <f t="shared" si="5"/>
        <v>-0.27806091420182355</v>
      </c>
      <c r="M40" s="142">
        <f t="shared" si="6"/>
        <v>144.89694061167708</v>
      </c>
      <c r="N40" s="142">
        <f t="shared" si="7"/>
        <v>145.17500152587891</v>
      </c>
      <c r="O40" s="142">
        <f t="shared" si="8"/>
        <v>-0.27806091420183066</v>
      </c>
      <c r="P40" s="143" t="str">
        <f t="shared" si="9"/>
        <v>Voilated</v>
      </c>
      <c r="Q40" s="142">
        <f t="shared" si="10"/>
        <v>43.246940611677076</v>
      </c>
      <c r="R40" s="144" t="str">
        <f t="shared" si="11"/>
        <v>YES</v>
      </c>
      <c r="S40" s="144" t="str">
        <f t="shared" si="12"/>
        <v>NO</v>
      </c>
    </row>
    <row r="41" spans="1:21" ht="33" customHeight="1">
      <c r="B41" s="106" t="s">
        <v>196</v>
      </c>
      <c r="C41" s="119">
        <v>45548.676493055558</v>
      </c>
      <c r="D41" s="135">
        <f>('Bloomberg Raw Data-5th (2)'!C44+'Bloomberg Raw Data-5th (2)'!D44)/2</f>
        <v>6.9999992847442502E-2</v>
      </c>
      <c r="E41" s="135">
        <f>('Bloomberg Raw Data-5th (2)'!J44+'Bloomberg Raw Data-5th (2)'!K44)/2</f>
        <v>48.449996948242202</v>
      </c>
      <c r="F41" s="109">
        <f t="shared" si="0"/>
        <v>-48.379996955394759</v>
      </c>
      <c r="G41" s="110">
        <f t="shared" si="3"/>
        <v>101.65</v>
      </c>
      <c r="H41" s="108">
        <f>'Bloomberg Raw Data-5th (2)'!A44</f>
        <v>150</v>
      </c>
      <c r="I41" s="111">
        <f t="shared" si="1"/>
        <v>0.99832372845504969</v>
      </c>
      <c r="J41" s="111">
        <f t="shared" si="4"/>
        <v>149.74855926825745</v>
      </c>
      <c r="K41" s="111">
        <f t="shared" si="2"/>
        <v>-48.098559268257446</v>
      </c>
      <c r="L41" s="138">
        <f t="shared" si="5"/>
        <v>-0.28143768713731276</v>
      </c>
      <c r="M41" s="142">
        <f t="shared" si="6"/>
        <v>149.81855926110489</v>
      </c>
      <c r="N41" s="142">
        <f t="shared" si="7"/>
        <v>150.09999694824222</v>
      </c>
      <c r="O41" s="142">
        <f t="shared" si="8"/>
        <v>-0.28143768713732698</v>
      </c>
      <c r="P41" s="143" t="str">
        <f t="shared" si="9"/>
        <v>Voilated</v>
      </c>
      <c r="Q41" s="142">
        <f t="shared" si="10"/>
        <v>48.168559261104889</v>
      </c>
      <c r="R41" s="144" t="str">
        <f t="shared" si="11"/>
        <v>YES</v>
      </c>
      <c r="S41" s="144" t="str">
        <f t="shared" si="12"/>
        <v>NO</v>
      </c>
    </row>
    <row r="42" spans="1:21" ht="33" customHeight="1">
      <c r="B42" s="106" t="s">
        <v>197</v>
      </c>
      <c r="C42" s="107">
        <v>45551.76090277778</v>
      </c>
      <c r="D42" s="135">
        <f>('Bloomberg Raw Data-5th (2)'!C45+'Bloomberg Raw Data-5th (2)'!D45)/2</f>
        <v>0.1400000154972075</v>
      </c>
      <c r="E42" s="135">
        <f>('Bloomberg Raw Data-5th (2)'!J45+'Bloomberg Raw Data-5th (2)'!K45)/2</f>
        <v>53.574996948242202</v>
      </c>
      <c r="F42" s="109">
        <f t="shared" si="0"/>
        <v>-53.434996932744994</v>
      </c>
      <c r="G42" s="110">
        <f t="shared" si="3"/>
        <v>101.65</v>
      </c>
      <c r="H42" s="108">
        <f>'Bloomberg Raw Data-5th (2)'!A45</f>
        <v>155</v>
      </c>
      <c r="I42" s="111">
        <f t="shared" si="1"/>
        <v>0.99832372845504969</v>
      </c>
      <c r="J42" s="111">
        <f t="shared" si="4"/>
        <v>154.74017791053271</v>
      </c>
      <c r="K42" s="111">
        <f t="shared" si="2"/>
        <v>-53.090177910532702</v>
      </c>
      <c r="L42" s="138">
        <f t="shared" si="5"/>
        <v>-0.34481902221229177</v>
      </c>
      <c r="M42" s="142">
        <f t="shared" si="6"/>
        <v>154.88017792602992</v>
      </c>
      <c r="N42" s="142">
        <f t="shared" si="7"/>
        <v>155.22499694824222</v>
      </c>
      <c r="O42" s="142">
        <f t="shared" si="8"/>
        <v>-0.34481902221230598</v>
      </c>
      <c r="P42" s="143" t="str">
        <f t="shared" si="9"/>
        <v>Voilated</v>
      </c>
      <c r="Q42" s="142">
        <f t="shared" si="10"/>
        <v>53.23017792602991</v>
      </c>
      <c r="R42" s="144" t="str">
        <f t="shared" si="11"/>
        <v>YES</v>
      </c>
      <c r="S42" s="144" t="str">
        <f t="shared" si="12"/>
        <v>NO</v>
      </c>
    </row>
    <row r="43" spans="1:21" ht="13.9" customHeight="1">
      <c r="B43" s="106" t="s">
        <v>198</v>
      </c>
      <c r="C43" s="107">
        <v>45553.695601851847</v>
      </c>
      <c r="D43" s="135">
        <f>('Bloomberg Raw Data-5th (2)'!C46+'Bloomberg Raw Data-5th (2)'!D46)/2</f>
        <v>0.1400000154972075</v>
      </c>
      <c r="E43" s="135">
        <f>('Bloomberg Raw Data-5th (2)'!J46+'Bloomberg Raw Data-5th (2)'!K46)/2</f>
        <v>58.574996948242202</v>
      </c>
      <c r="F43" s="109">
        <f t="shared" si="0"/>
        <v>-58.434996932744994</v>
      </c>
      <c r="G43" s="110">
        <f t="shared" si="3"/>
        <v>101.65</v>
      </c>
      <c r="H43" s="108">
        <f>'Bloomberg Raw Data-5th (2)'!A46</f>
        <v>160</v>
      </c>
      <c r="I43" s="111">
        <f t="shared" si="1"/>
        <v>0.99832372845504969</v>
      </c>
      <c r="J43" s="111">
        <f t="shared" si="4"/>
        <v>159.73179655280796</v>
      </c>
      <c r="K43" s="111">
        <f t="shared" si="2"/>
        <v>-58.081796552807958</v>
      </c>
      <c r="L43" s="138">
        <f t="shared" si="5"/>
        <v>-0.35320037993703579</v>
      </c>
      <c r="M43" s="142">
        <f t="shared" si="6"/>
        <v>159.87179656830517</v>
      </c>
      <c r="N43" s="142">
        <f t="shared" si="7"/>
        <v>160.22499694824222</v>
      </c>
      <c r="O43" s="142">
        <f t="shared" si="8"/>
        <v>-0.35320037993705</v>
      </c>
      <c r="P43" s="143" t="str">
        <f t="shared" si="9"/>
        <v>Voilated</v>
      </c>
      <c r="Q43" s="142">
        <f t="shared" si="10"/>
        <v>58.221796568305166</v>
      </c>
      <c r="R43" s="144" t="str">
        <f t="shared" si="11"/>
        <v>YES</v>
      </c>
      <c r="S43" s="144" t="str">
        <f t="shared" si="12"/>
        <v>NO</v>
      </c>
    </row>
    <row r="44" spans="1:21" ht="13.9">
      <c r="B44" s="106" t="s">
        <v>199</v>
      </c>
      <c r="C44" s="107">
        <v>45545.747407407413</v>
      </c>
      <c r="D44" s="135">
        <f>('Bloomberg Raw Data-5th (2)'!C47+'Bloomberg Raw Data-5th (2)'!D47)/2</f>
        <v>0.1400000154972075</v>
      </c>
      <c r="E44" s="135">
        <f>('Bloomberg Raw Data-5th (2)'!J47+'Bloomberg Raw Data-5th (2)'!K47)/2</f>
        <v>68.449996948242202</v>
      </c>
      <c r="F44" s="109">
        <f t="shared" si="0"/>
        <v>-68.309996932744994</v>
      </c>
      <c r="G44" s="110">
        <f t="shared" si="3"/>
        <v>101.65</v>
      </c>
      <c r="H44" s="108">
        <f>'Bloomberg Raw Data-5th (2)'!A47</f>
        <v>170</v>
      </c>
      <c r="I44" s="111">
        <f t="shared" si="1"/>
        <v>0.99832372845504969</v>
      </c>
      <c r="J44" s="111">
        <f t="shared" si="4"/>
        <v>169.71503383735845</v>
      </c>
      <c r="K44" s="111">
        <f t="shared" si="2"/>
        <v>-68.065033837358442</v>
      </c>
      <c r="L44" s="138">
        <f t="shared" si="5"/>
        <v>-0.24496309538655225</v>
      </c>
      <c r="M44" s="142">
        <f t="shared" si="6"/>
        <v>169.85503385285566</v>
      </c>
      <c r="N44" s="142">
        <f t="shared" si="7"/>
        <v>170.09999694824222</v>
      </c>
      <c r="O44" s="142">
        <f t="shared" si="8"/>
        <v>-0.24496309538656647</v>
      </c>
      <c r="P44" s="143" t="str">
        <f t="shared" si="9"/>
        <v>Voilated</v>
      </c>
      <c r="Q44" s="142">
        <f t="shared" si="10"/>
        <v>68.205033852855649</v>
      </c>
      <c r="R44" s="144" t="str">
        <f t="shared" si="11"/>
        <v>YES</v>
      </c>
      <c r="S44" s="144" t="str">
        <f t="shared" si="12"/>
        <v>NO</v>
      </c>
    </row>
    <row r="46" spans="1:21" ht="27.6">
      <c r="A46" s="151"/>
      <c r="B46" s="151" t="s">
        <v>200</v>
      </c>
      <c r="C46" s="151"/>
      <c r="D46" s="151"/>
      <c r="E46" s="151"/>
      <c r="F46" s="151"/>
      <c r="G46" s="151"/>
      <c r="H46" s="151"/>
      <c r="I46" s="151"/>
      <c r="J46" s="151"/>
      <c r="K46" s="151"/>
      <c r="L46" s="151"/>
    </row>
    <row r="47" spans="1:21" ht="13.9" thickBot="1">
      <c r="U47" s="123"/>
    </row>
    <row r="48" spans="1:21" ht="40.15" thickBot="1">
      <c r="C48" s="120" t="s">
        <v>201</v>
      </c>
      <c r="D48" s="120" t="s">
        <v>202</v>
      </c>
      <c r="E48" s="120" t="s">
        <v>203</v>
      </c>
      <c r="F48" s="121" t="s">
        <v>204</v>
      </c>
      <c r="G48" s="120" t="s">
        <v>205</v>
      </c>
      <c r="H48" s="120" t="s">
        <v>44</v>
      </c>
      <c r="I48" s="134" t="s">
        <v>138</v>
      </c>
      <c r="J48" s="122" t="s">
        <v>139</v>
      </c>
      <c r="K48" s="121" t="s">
        <v>206</v>
      </c>
      <c r="L48" s="120" t="s">
        <v>52</v>
      </c>
      <c r="M48" s="123" t="s">
        <v>207</v>
      </c>
      <c r="N48" s="123"/>
      <c r="O48" s="123"/>
      <c r="P48" s="123"/>
      <c r="Q48" s="123"/>
      <c r="R48" s="123"/>
      <c r="S48" s="123"/>
      <c r="T48" s="123"/>
      <c r="U48" s="129"/>
    </row>
    <row r="49" spans="3:21" ht="13.9" thickBot="1">
      <c r="C49" s="124">
        <v>45601</v>
      </c>
      <c r="D49" s="125">
        <f>([1]Calculations!G10+[1]Calculations!H10)/2</f>
        <v>1.63</v>
      </c>
      <c r="E49" s="125">
        <f>([1]Calculations!G30+[1]Calculations!H30)/2</f>
        <v>2.0149499999999998</v>
      </c>
      <c r="F49" s="125">
        <f>D49-E49</f>
        <v>-0.3849499999999999</v>
      </c>
      <c r="G49" s="126">
        <v>101.65</v>
      </c>
      <c r="H49" s="125">
        <v>102</v>
      </c>
      <c r="I49" s="125"/>
      <c r="J49" s="127">
        <f>H49*2.718281^(-$X$10*(9/365))</f>
        <v>101.88192309023664</v>
      </c>
      <c r="K49" s="127">
        <f>G49-J49</f>
        <v>-0.23192309023663427</v>
      </c>
      <c r="L49" s="128">
        <f>F49-K49</f>
        <v>-0.15302690976336564</v>
      </c>
      <c r="M49" s="129">
        <f>H49*$X$12^(-$X$10*(9/365))</f>
        <v>101.88192309023664</v>
      </c>
      <c r="N49" s="129"/>
      <c r="O49" s="129"/>
      <c r="P49" s="129"/>
      <c r="Q49" s="129"/>
      <c r="R49" s="129"/>
      <c r="S49" s="129"/>
      <c r="T49" s="129"/>
      <c r="U49" s="129"/>
    </row>
    <row r="50" spans="3:21" ht="13.9" thickBot="1">
      <c r="C50" s="124">
        <v>45602</v>
      </c>
      <c r="D50" s="125">
        <f>([1]Calculations!G11+[1]Calculations!H11)/2</f>
        <v>0.82000000000000006</v>
      </c>
      <c r="E50" s="125">
        <f>([1]Calculations!G31+[1]Calculations!H31)/2</f>
        <v>1.8294999999999999</v>
      </c>
      <c r="F50" s="125">
        <f t="shared" ref="F50:F59" si="13">D50-E50</f>
        <v>-1.0094999999999998</v>
      </c>
      <c r="G50" s="126">
        <v>100.73</v>
      </c>
      <c r="H50" s="125">
        <v>102</v>
      </c>
      <c r="I50" s="125"/>
      <c r="J50" s="127">
        <f>H50*2.718281^(-$X$10*(8/365))</f>
        <v>101.89503599396588</v>
      </c>
      <c r="K50" s="127">
        <f>G50-J50</f>
        <v>-1.1650359939658728</v>
      </c>
      <c r="L50" s="128">
        <f t="shared" ref="L50:L59" si="14">F50-K50</f>
        <v>0.15553599396587292</v>
      </c>
      <c r="M50" s="129">
        <f>H50*$X$12^(-$X$10*(8/365))</f>
        <v>101.89503599396588</v>
      </c>
      <c r="N50" s="129"/>
      <c r="O50" s="129"/>
      <c r="P50" s="129"/>
      <c r="Q50" s="129"/>
      <c r="R50" s="129"/>
      <c r="S50" s="129"/>
      <c r="T50" s="129"/>
      <c r="U50" s="129"/>
    </row>
    <row r="51" spans="3:21" ht="13.9" thickBot="1">
      <c r="C51" s="124">
        <v>45603</v>
      </c>
      <c r="D51" s="125">
        <f>([1]Calculations!G12+[1]Calculations!H12)/2</f>
        <v>1.19</v>
      </c>
      <c r="E51" s="125">
        <f>([1]Calculations!G32+[1]Calculations!H32)/2</f>
        <v>1.6695</v>
      </c>
      <c r="F51" s="125">
        <f t="shared" si="13"/>
        <v>-0.47950000000000004</v>
      </c>
      <c r="G51" s="126">
        <v>101.17</v>
      </c>
      <c r="H51" s="125">
        <v>102</v>
      </c>
      <c r="I51" s="125"/>
      <c r="J51" s="127">
        <f>H51*2.718281^(-$X$10*(7/365))</f>
        <v>101.90815058541597</v>
      </c>
      <c r="K51" s="127">
        <f t="shared" ref="K51:K59" si="15">G51-J51</f>
        <v>-0.73815058541596557</v>
      </c>
      <c r="L51" s="128">
        <f t="shared" si="14"/>
        <v>0.25865058541596553</v>
      </c>
      <c r="M51" s="129">
        <f>H51*$X$12^(-$X$10*(7/365))</f>
        <v>101.90815058541597</v>
      </c>
      <c r="N51" s="129"/>
      <c r="O51" s="129"/>
      <c r="P51" s="129"/>
      <c r="Q51" s="129"/>
      <c r="R51" s="129"/>
      <c r="S51" s="129"/>
      <c r="T51" s="129"/>
      <c r="U51" s="129"/>
    </row>
    <row r="52" spans="3:21" ht="13.9" thickBot="1">
      <c r="C52" s="124">
        <v>45604</v>
      </c>
      <c r="D52" s="125">
        <f>([1]Calculations!G13+[1]Calculations!H13)/2</f>
        <v>1.86</v>
      </c>
      <c r="E52" s="125">
        <f>([1]Calculations!G33+[1]Calculations!H33)/2</f>
        <v>0.62995000000000001</v>
      </c>
      <c r="F52" s="125">
        <f t="shared" si="13"/>
        <v>1.2300500000000001</v>
      </c>
      <c r="G52" s="126">
        <v>102.92</v>
      </c>
      <c r="H52" s="125">
        <v>102</v>
      </c>
      <c r="I52" s="125"/>
      <c r="J52" s="127">
        <f>H52*2.718281^(-$X$10*(6/365))</f>
        <v>101.9212668648041</v>
      </c>
      <c r="K52" s="127">
        <f t="shared" si="15"/>
        <v>0.99873313519590567</v>
      </c>
      <c r="L52" s="128">
        <f t="shared" si="14"/>
        <v>0.23131686480409441</v>
      </c>
      <c r="M52" s="129">
        <f>H52*$X$12^(-$X$10*(6/365))</f>
        <v>101.9212668648041</v>
      </c>
      <c r="N52" s="129"/>
      <c r="O52" s="129"/>
      <c r="P52" s="129"/>
      <c r="Q52" s="129"/>
      <c r="R52" s="129"/>
      <c r="S52" s="129"/>
      <c r="T52" s="129"/>
      <c r="U52" s="129"/>
    </row>
    <row r="53" spans="3:21" ht="13.9" thickBot="1">
      <c r="C53" s="130">
        <v>45605</v>
      </c>
      <c r="D53" s="125">
        <f>([1]Calculations!G14+[1]Calculations!H14)/2</f>
        <v>1.86</v>
      </c>
      <c r="E53" s="125">
        <f>([1]Calculations!G34+[1]Calculations!H34)/2</f>
        <v>0.62995000000000001</v>
      </c>
      <c r="F53" s="125">
        <f t="shared" si="13"/>
        <v>1.2300500000000001</v>
      </c>
      <c r="G53" s="126">
        <v>102.92</v>
      </c>
      <c r="H53" s="131">
        <v>102</v>
      </c>
      <c r="I53" s="131"/>
      <c r="J53" s="127">
        <f>H53*2.718281^(-$X$10*(6/365))</f>
        <v>101.9212668648041</v>
      </c>
      <c r="K53" s="127">
        <f t="shared" si="15"/>
        <v>0.99873313519590567</v>
      </c>
      <c r="L53" s="128">
        <f t="shared" si="14"/>
        <v>0.23131686480409441</v>
      </c>
      <c r="M53" s="129">
        <f>H53*$X$12^(-$X$10*(6/365))</f>
        <v>101.9212668648041</v>
      </c>
      <c r="N53" s="129"/>
      <c r="O53" s="129"/>
      <c r="P53" s="129"/>
      <c r="Q53" s="129"/>
      <c r="R53" s="129"/>
      <c r="S53" s="129"/>
      <c r="T53" s="129"/>
      <c r="U53" s="129"/>
    </row>
    <row r="54" spans="3:21" ht="13.9" thickBot="1">
      <c r="C54" s="130">
        <v>45606</v>
      </c>
      <c r="D54" s="125">
        <f>([1]Calculations!G15+[1]Calculations!H15)/2</f>
        <v>1.86</v>
      </c>
      <c r="E54" s="125">
        <f>([1]Calculations!G35+[1]Calculations!H35)/2</f>
        <v>0.62995000000000001</v>
      </c>
      <c r="F54" s="125">
        <f t="shared" si="13"/>
        <v>1.2300500000000001</v>
      </c>
      <c r="G54" s="126">
        <v>102.92</v>
      </c>
      <c r="H54" s="131">
        <v>102</v>
      </c>
      <c r="I54" s="131"/>
      <c r="J54" s="127">
        <f>H54*2.718281^(-$X$10*(6/365))</f>
        <v>101.9212668648041</v>
      </c>
      <c r="K54" s="127">
        <f t="shared" si="15"/>
        <v>0.99873313519590567</v>
      </c>
      <c r="L54" s="128">
        <f t="shared" si="14"/>
        <v>0.23131686480409441</v>
      </c>
      <c r="M54" s="129">
        <f>H54*$X$12^(-$X$10*(6/365))</f>
        <v>101.9212668648041</v>
      </c>
      <c r="N54" s="129"/>
      <c r="O54" s="129"/>
      <c r="P54" s="129"/>
      <c r="Q54" s="129"/>
      <c r="R54" s="129"/>
      <c r="S54" s="129"/>
      <c r="T54" s="129"/>
      <c r="U54" s="129"/>
    </row>
    <row r="55" spans="3:21" ht="13.9" thickBot="1">
      <c r="C55" s="124">
        <v>45607</v>
      </c>
      <c r="D55" s="125">
        <f>([1]Calculations!G16+[1]Calculations!H16)/2</f>
        <v>0.45499999999999996</v>
      </c>
      <c r="E55" s="125">
        <f>([1]Calculations!G36+[1]Calculations!H36)/2</f>
        <v>1.7544500000000001</v>
      </c>
      <c r="F55" s="125">
        <f t="shared" si="13"/>
        <v>-1.2994500000000002</v>
      </c>
      <c r="G55" s="126">
        <v>100.73</v>
      </c>
      <c r="H55" s="125">
        <v>102</v>
      </c>
      <c r="I55" s="125"/>
      <c r="J55" s="127">
        <f>H55*2.718281^(-$X$10*(5/365))</f>
        <v>101.93438483234755</v>
      </c>
      <c r="K55" s="127">
        <f t="shared" si="15"/>
        <v>-1.204384832347543</v>
      </c>
      <c r="L55" s="128">
        <f t="shared" si="14"/>
        <v>-9.5065167652457205E-2</v>
      </c>
      <c r="M55" s="129">
        <f>H55*$X$12^(-$X$10*(5/365))</f>
        <v>101.93438483234755</v>
      </c>
      <c r="N55" s="129"/>
      <c r="O55" s="129"/>
      <c r="P55" s="129"/>
      <c r="Q55" s="129"/>
      <c r="R55" s="129"/>
      <c r="S55" s="129"/>
      <c r="T55" s="129"/>
      <c r="U55" s="129"/>
    </row>
    <row r="56" spans="3:21" ht="13.9" thickBot="1">
      <c r="C56" s="124">
        <v>45608</v>
      </c>
      <c r="D56" s="125">
        <f>([1]Calculations!G17+[1]Calculations!H17)/2</f>
        <v>9.5000000000000001E-2</v>
      </c>
      <c r="E56" s="125">
        <f>([1]Calculations!G37+[1]Calculations!H37)/2</f>
        <v>3.0649999999999999</v>
      </c>
      <c r="F56" s="125">
        <f t="shared" si="13"/>
        <v>-2.9699999999999998</v>
      </c>
      <c r="G56" s="126">
        <v>98.58</v>
      </c>
      <c r="H56" s="125">
        <v>102</v>
      </c>
      <c r="I56" s="125"/>
      <c r="J56" s="127">
        <f>H56*2.718281^(-$X$10*(4/365))</f>
        <v>101.94750448826358</v>
      </c>
      <c r="K56" s="127">
        <f t="shared" si="15"/>
        <v>-3.3675044882635774</v>
      </c>
      <c r="L56" s="128">
        <f t="shared" si="14"/>
        <v>0.39750448826357765</v>
      </c>
      <c r="M56" s="129">
        <f>H56*$X$12^(-$X$10*(4/365))</f>
        <v>101.94750448826358</v>
      </c>
      <c r="N56" s="129"/>
      <c r="O56" s="129"/>
      <c r="P56" s="129"/>
      <c r="Q56" s="129"/>
      <c r="R56" s="129"/>
      <c r="S56" s="129"/>
      <c r="T56" s="129"/>
      <c r="U56" s="129"/>
    </row>
    <row r="57" spans="3:21" ht="13.9" thickBot="1">
      <c r="C57" s="124">
        <v>45609</v>
      </c>
      <c r="D57" s="125">
        <f>([1]Calculations!G18+[1]Calculations!H18)/2</f>
        <v>0.04</v>
      </c>
      <c r="E57" s="125">
        <f>([1]Calculations!G38+[1]Calculations!H38)/2</f>
        <v>3.5</v>
      </c>
      <c r="F57" s="125">
        <f t="shared" si="13"/>
        <v>-3.46</v>
      </c>
      <c r="G57" s="126">
        <v>98.5</v>
      </c>
      <c r="H57" s="125">
        <v>102</v>
      </c>
      <c r="I57" s="125"/>
      <c r="J57" s="127">
        <f>H57*2.718281^(-$X$10*(3/365))</f>
        <v>101.96062583276948</v>
      </c>
      <c r="K57" s="127">
        <f t="shared" si="15"/>
        <v>-3.4606258327694803</v>
      </c>
      <c r="L57" s="128">
        <f t="shared" si="14"/>
        <v>6.2583276948036115E-4</v>
      </c>
      <c r="M57" s="129">
        <f>H57*$X$12^(-$X$10*(3/365))</f>
        <v>101.96062583276948</v>
      </c>
      <c r="N57" s="129"/>
      <c r="O57" s="129"/>
      <c r="P57" s="129"/>
      <c r="Q57" s="129"/>
      <c r="R57" s="129"/>
      <c r="S57" s="129"/>
      <c r="T57" s="129"/>
      <c r="U57" s="129"/>
    </row>
    <row r="58" spans="3:21" ht="13.9" thickBot="1">
      <c r="C58" s="124">
        <v>45610</v>
      </c>
      <c r="D58" s="125">
        <f>([1]Calculations!G19+[1]Calculations!H19)/2</f>
        <v>2.5000000000000001E-2</v>
      </c>
      <c r="E58" s="125">
        <f>([1]Calculations!G39+[1]Calculations!H39)/2</f>
        <v>3.5049999999999999</v>
      </c>
      <c r="F58" s="125">
        <f t="shared" si="13"/>
        <v>-3.48</v>
      </c>
      <c r="G58" s="126">
        <v>98.36</v>
      </c>
      <c r="H58" s="125">
        <v>102</v>
      </c>
      <c r="I58" s="125"/>
      <c r="J58" s="127">
        <f>H58*2.718281^(-$X$10*(2/365))</f>
        <v>101.97374886608262</v>
      </c>
      <c r="K58" s="127">
        <f t="shared" si="15"/>
        <v>-3.6137488660826165</v>
      </c>
      <c r="L58" s="128">
        <f t="shared" si="14"/>
        <v>0.13374886608261649</v>
      </c>
      <c r="M58" s="129">
        <f>H58*$X$12^(-$X$10*(2/365))</f>
        <v>101.97374886608262</v>
      </c>
      <c r="N58" s="129"/>
      <c r="O58" s="129"/>
      <c r="P58" s="129"/>
      <c r="Q58" s="129"/>
      <c r="R58" s="129"/>
      <c r="S58" s="129"/>
      <c r="T58" s="129"/>
      <c r="U58" s="129"/>
    </row>
    <row r="59" spans="3:21" ht="13.9" thickBot="1">
      <c r="C59" s="124">
        <v>45611</v>
      </c>
      <c r="D59" s="125">
        <f>([1]Calculations!G20+[1]Calculations!H20)/2</f>
        <v>5.0000000000000001E-3</v>
      </c>
      <c r="E59" s="125">
        <f>([1]Calculations!G40+[1]Calculations!H40)/2</f>
        <v>6.2244999999999999</v>
      </c>
      <c r="F59" s="125">
        <f t="shared" si="13"/>
        <v>-6.2195</v>
      </c>
      <c r="G59" s="126">
        <v>96.31</v>
      </c>
      <c r="H59" s="125">
        <v>102</v>
      </c>
      <c r="I59" s="125"/>
      <c r="J59" s="127">
        <f>H59*2.718281^(-$X$10*(1/365))</f>
        <v>101.98687358842032</v>
      </c>
      <c r="K59" s="127">
        <f t="shared" si="15"/>
        <v>-5.676873588420321</v>
      </c>
      <c r="L59" s="128">
        <f t="shared" si="14"/>
        <v>-0.54262641157967906</v>
      </c>
      <c r="M59" s="129">
        <f>H59*$X$12^(-$X$10*(1/365))</f>
        <v>101.98687358842032</v>
      </c>
      <c r="N59" s="129"/>
      <c r="O59" s="129"/>
      <c r="P59" s="129"/>
      <c r="Q59" s="129"/>
      <c r="R59" s="129"/>
      <c r="S59" s="129"/>
      <c r="T59" s="129"/>
    </row>
  </sheetData>
  <autoFilter ref="B4:S4" xr:uid="{B90F5B98-7F82-4D1B-89B6-8B3CF58F2E2A}"/>
  <mergeCells count="43">
    <mergeCell ref="AA3:AB3"/>
    <mergeCell ref="AF3:AI3"/>
    <mergeCell ref="AG7:AI7"/>
    <mergeCell ref="AA5:AB6"/>
    <mergeCell ref="AC5:AC6"/>
    <mergeCell ref="AA22:AB22"/>
    <mergeCell ref="AG4:AI4"/>
    <mergeCell ref="AG5:AI5"/>
    <mergeCell ref="AG6:AI6"/>
    <mergeCell ref="AA12:AB12"/>
    <mergeCell ref="AA13:AB13"/>
    <mergeCell ref="AA14:AB14"/>
    <mergeCell ref="AA15:AB15"/>
    <mergeCell ref="AA16:AB16"/>
    <mergeCell ref="AA17:AB17"/>
    <mergeCell ref="AF4:AF7"/>
    <mergeCell ref="AA11:AB11"/>
    <mergeCell ref="AA18:AB21"/>
    <mergeCell ref="AA4:AB4"/>
    <mergeCell ref="AA7:AB7"/>
    <mergeCell ref="AA8:AB8"/>
    <mergeCell ref="AA9:AB9"/>
    <mergeCell ref="AA10:AB10"/>
    <mergeCell ref="Z16:Z21"/>
    <mergeCell ref="V5:W5"/>
    <mergeCell ref="V13:W13"/>
    <mergeCell ref="V14:W14"/>
    <mergeCell ref="V18:W18"/>
    <mergeCell ref="V15:W15"/>
    <mergeCell ref="V16:W16"/>
    <mergeCell ref="V17:W17"/>
    <mergeCell ref="Z7:Z11"/>
    <mergeCell ref="V8:W8"/>
    <mergeCell ref="R3:S3"/>
    <mergeCell ref="V3:W3"/>
    <mergeCell ref="V4:W4"/>
    <mergeCell ref="V6:W6"/>
    <mergeCell ref="V7:W7"/>
    <mergeCell ref="U6:U12"/>
    <mergeCell ref="V9:W9"/>
    <mergeCell ref="V10:W10"/>
    <mergeCell ref="V11:W11"/>
    <mergeCell ref="V12:W12"/>
  </mergeCell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01BCC-7634-4DC5-B8C1-3F96790262DC}">
  <sheetPr>
    <tabColor theme="7" tint="0.59999389629810485"/>
  </sheetPr>
  <dimension ref="B1:S42"/>
  <sheetViews>
    <sheetView showGridLines="0" tabSelected="1" topLeftCell="C1" zoomScale="93" zoomScaleNormal="98" workbookViewId="0">
      <selection activeCell="D3" sqref="D3"/>
    </sheetView>
  </sheetViews>
  <sheetFormatPr defaultColWidth="8.85546875" defaultRowHeight="13.15"/>
  <cols>
    <col min="1" max="1" width="4.140625" style="277" customWidth="1"/>
    <col min="2" max="2" width="24.28515625" style="277" customWidth="1"/>
    <col min="3" max="3" width="20.140625" style="277" customWidth="1"/>
    <col min="4" max="4" width="11" style="277" customWidth="1"/>
    <col min="5" max="8" width="8.85546875" style="277" customWidth="1"/>
    <col min="9" max="9" width="16.5703125" style="277" customWidth="1"/>
    <col min="10" max="10" width="18.28515625" style="277" customWidth="1"/>
    <col min="11" max="11" width="13.7109375" style="277" customWidth="1"/>
    <col min="12" max="12" width="24.7109375" style="277" customWidth="1"/>
    <col min="13" max="14" width="8.85546875" style="277"/>
    <col min="15" max="15" width="16.5703125" style="277" customWidth="1"/>
    <col min="16" max="16" width="23.7109375" style="277" customWidth="1"/>
    <col min="17" max="17" width="17" style="277" customWidth="1"/>
    <col min="18" max="18" width="22.5703125" style="277" customWidth="1"/>
    <col min="19" max="19" width="15.28515625" style="277" customWidth="1"/>
    <col min="20" max="16384" width="8.85546875" style="277"/>
  </cols>
  <sheetData>
    <row r="1" spans="2:19" ht="13.9">
      <c r="I1" s="196"/>
      <c r="J1" s="196"/>
    </row>
    <row r="4" spans="2:19" ht="13.9" customHeight="1">
      <c r="B4" s="437" t="s">
        <v>208</v>
      </c>
      <c r="C4" s="437"/>
      <c r="D4" s="437"/>
      <c r="E4" s="437"/>
      <c r="F4" s="437"/>
      <c r="G4" s="437"/>
      <c r="H4" s="437"/>
      <c r="I4" s="437"/>
      <c r="J4" s="437"/>
      <c r="K4" s="437"/>
      <c r="L4" s="437"/>
      <c r="M4" s="437"/>
      <c r="N4" s="437"/>
      <c r="O4" s="437"/>
      <c r="P4" s="437"/>
      <c r="Q4" s="437"/>
      <c r="R4" s="437"/>
      <c r="S4" s="437"/>
    </row>
    <row r="5" spans="2:19" ht="13.9" customHeight="1">
      <c r="B5" s="437"/>
      <c r="C5" s="437"/>
      <c r="D5" s="437"/>
      <c r="E5" s="437"/>
      <c r="F5" s="437"/>
      <c r="G5" s="437"/>
      <c r="H5" s="437"/>
      <c r="I5" s="437"/>
      <c r="J5" s="437"/>
      <c r="K5" s="437"/>
      <c r="L5" s="437"/>
      <c r="M5" s="437"/>
      <c r="N5" s="437"/>
      <c r="O5" s="437"/>
      <c r="P5" s="437"/>
      <c r="Q5" s="437"/>
      <c r="R5" s="437"/>
      <c r="S5" s="437"/>
    </row>
    <row r="6" spans="2:19" ht="13.9" customHeight="1">
      <c r="B6" s="437"/>
      <c r="C6" s="437"/>
      <c r="D6" s="437"/>
      <c r="E6" s="437"/>
      <c r="F6" s="437"/>
      <c r="G6" s="437"/>
      <c r="H6" s="437"/>
      <c r="I6" s="437"/>
      <c r="J6" s="437"/>
      <c r="K6" s="437"/>
      <c r="L6" s="437"/>
      <c r="M6" s="437"/>
      <c r="N6" s="437"/>
      <c r="O6" s="437"/>
      <c r="P6" s="437"/>
      <c r="Q6" s="437"/>
      <c r="R6" s="437"/>
      <c r="S6" s="437"/>
    </row>
    <row r="7" spans="2:19" ht="41.45">
      <c r="B7" s="10" t="s">
        <v>38</v>
      </c>
      <c r="C7" s="11" t="s">
        <v>39</v>
      </c>
      <c r="D7" s="11" t="s">
        <v>33</v>
      </c>
      <c r="E7" s="11" t="s">
        <v>4</v>
      </c>
      <c r="F7" s="11" t="s">
        <v>209</v>
      </c>
      <c r="G7" s="10" t="s">
        <v>6</v>
      </c>
      <c r="H7" s="10" t="s">
        <v>7</v>
      </c>
      <c r="I7" s="11" t="s">
        <v>210</v>
      </c>
      <c r="J7" s="11" t="s">
        <v>211</v>
      </c>
      <c r="K7" s="11" t="s">
        <v>212</v>
      </c>
      <c r="L7" s="12" t="s">
        <v>11</v>
      </c>
      <c r="M7" s="10" t="s">
        <v>213</v>
      </c>
      <c r="N7" s="10" t="s">
        <v>214</v>
      </c>
      <c r="O7" s="10" t="s">
        <v>40</v>
      </c>
      <c r="P7" s="13" t="s">
        <v>215</v>
      </c>
      <c r="Q7" s="11" t="s">
        <v>216</v>
      </c>
      <c r="R7" s="11" t="s">
        <v>217</v>
      </c>
      <c r="S7" s="180" t="s">
        <v>218</v>
      </c>
    </row>
    <row r="8" spans="2:19" ht="13.9">
      <c r="B8" s="101" t="str">
        <f>'Bloomberg Raw Data-5th(No zero)'!B6</f>
        <v>MRK 11/15/24 C95</v>
      </c>
      <c r="C8" s="242">
        <v>45423</v>
      </c>
      <c r="D8" s="56">
        <v>101.65</v>
      </c>
      <c r="E8" s="70">
        <f>'Bloomberg Raw Data-5th(No zero)'!A6</f>
        <v>95</v>
      </c>
      <c r="F8" s="56">
        <f>'Bloomberg Raw Data-5th(No zero)'!E6</f>
        <v>6.9499998092651403</v>
      </c>
      <c r="G8" s="56">
        <f>'Bloomberg Raw Data-5th(No zero)'!C6</f>
        <v>6.6500005722045898</v>
      </c>
      <c r="H8" s="56">
        <f>'Bloomberg Raw Data-5th(No zero)'!D6</f>
        <v>6.9499998092651403</v>
      </c>
      <c r="I8" s="246">
        <f>'Q1-(Without Zero Volume)'!J4</f>
        <v>4.6974999999999996E-2</v>
      </c>
      <c r="J8" s="72">
        <v>3.1099999999999999E-2</v>
      </c>
      <c r="K8" s="73">
        <f>'Q1-(Without Zero Volume)'!K4</f>
        <v>3.5714285714285712E-2</v>
      </c>
      <c r="L8" s="74">
        <f>(G8+H8)/2</f>
        <v>6.8000001907348651</v>
      </c>
      <c r="M8" s="75">
        <f>(LN(D8/E8) + ((I8+ (P8^2) / 2)*K8) / (P8*SQRT(K8)))</f>
        <v>0.12883563925310071</v>
      </c>
      <c r="N8" s="75">
        <f t="shared" ref="N8:N21" si="0" xml:space="preserve"> M8 - P8*SQRT(K8)</f>
        <v>4.7979546412194166E-2</v>
      </c>
      <c r="O8" s="75">
        <v>12</v>
      </c>
      <c r="P8" s="76">
        <v>0.42785022728277755</v>
      </c>
      <c r="Q8" s="77">
        <f>D8*_xlfn.NORM.S.DIST(M8,TRUE) - E8*EXP(-I8*K8)*_xlfn.NORM.S.DIST(N8,TRUE)</f>
        <v>6.8001531221215572</v>
      </c>
      <c r="R8" s="78">
        <v>0.2858</v>
      </c>
      <c r="S8" s="283">
        <f>L8-Q8</f>
        <v>-1.5293138669214557E-4</v>
      </c>
    </row>
    <row r="9" spans="2:19" ht="13.9">
      <c r="B9" s="101" t="str">
        <f>'Bloomberg Raw Data-5th(No zero)'!B7</f>
        <v>MRK 11/15/24 C98</v>
      </c>
      <c r="C9" s="242">
        <f>C8</f>
        <v>45423</v>
      </c>
      <c r="D9" s="56">
        <v>101.65</v>
      </c>
      <c r="E9" s="70">
        <f>'Bloomberg Raw Data-5th(No zero)'!A7</f>
        <v>98</v>
      </c>
      <c r="F9" s="56">
        <f>'Bloomberg Raw Data-5th(No zero)'!E7</f>
        <v>4.1999998092651403</v>
      </c>
      <c r="G9" s="56">
        <f>'Bloomberg Raw Data-5th(No zero)'!C7</f>
        <v>4.1500005722045898</v>
      </c>
      <c r="H9" s="56">
        <f>'Bloomberg Raw Data-5th(No zero)'!D7</f>
        <v>4.3000001907348597</v>
      </c>
      <c r="I9" s="246">
        <f>'Q1-(Without Zero Volume)'!J5</f>
        <v>4.6974999999999996E-2</v>
      </c>
      <c r="J9" s="72">
        <v>3.1099999999999999E-2</v>
      </c>
      <c r="K9" s="73">
        <f>'Q1-(Without Zero Volume)'!K5</f>
        <v>3.5714285714285712E-2</v>
      </c>
      <c r="L9" s="74">
        <f t="shared" ref="L9:L21" si="1">(G9+H9)/2</f>
        <v>4.2250003814697248</v>
      </c>
      <c r="M9" s="75">
        <f t="shared" ref="M9:M21" si="2">(LN(D9/E9) + ((I9+ (P9^2) / 2)*K9) / (P9*SQRT(K9)))</f>
        <v>9.4532453265135236E-2</v>
      </c>
      <c r="N9" s="75">
        <f t="shared" si="0"/>
        <v>3.8692580407973798E-2</v>
      </c>
      <c r="O9" s="75">
        <v>2</v>
      </c>
      <c r="P9" s="76">
        <v>0.29547683364302985</v>
      </c>
      <c r="Q9" s="77">
        <f>D9*_xlfn.NORM.S.DIST(M9,TRUE) - E9*EXP(-I9*K9)*_xlfn.NORM.S.DIST(N9,TRUE)</f>
        <v>4.2251351055571575</v>
      </c>
      <c r="R9" s="78">
        <v>0.2717</v>
      </c>
      <c r="S9" s="283">
        <f t="shared" ref="S9:S21" si="3">L9-Q9</f>
        <v>-1.3472408743275821E-4</v>
      </c>
    </row>
    <row r="10" spans="2:19" ht="13.9">
      <c r="B10" s="101" t="str">
        <f>'Bloomberg Raw Data-5th(No zero)'!B8</f>
        <v>MRK 11/15/24 C99</v>
      </c>
      <c r="C10" s="242">
        <f t="shared" ref="C10:C12" si="4">C9</f>
        <v>45423</v>
      </c>
      <c r="D10" s="56">
        <v>101.65</v>
      </c>
      <c r="E10" s="70">
        <f>'Bloomberg Raw Data-5th(No zero)'!A8</f>
        <v>99</v>
      </c>
      <c r="F10" s="56">
        <f>'Bloomberg Raw Data-5th(No zero)'!E8</f>
        <v>3.67000007629394</v>
      </c>
      <c r="G10" s="56">
        <f>'Bloomberg Raw Data-5th(No zero)'!C8</f>
        <v>3.4000005722045898</v>
      </c>
      <c r="H10" s="56">
        <f>'Bloomberg Raw Data-5th(No zero)'!D8</f>
        <v>3.5500001907348602</v>
      </c>
      <c r="I10" s="246">
        <f>'Q1-(Without Zero Volume)'!J6</f>
        <v>4.6974999999999996E-2</v>
      </c>
      <c r="J10" s="72">
        <v>3.1099999999999999E-2</v>
      </c>
      <c r="K10" s="73">
        <f>'Q1-(Without Zero Volume)'!K6</f>
        <v>3.5714285714285712E-2</v>
      </c>
      <c r="L10" s="74">
        <f t="shared" si="1"/>
        <v>3.4750003814697248</v>
      </c>
      <c r="M10" s="75">
        <f t="shared" si="2"/>
        <v>8.495158063082435E-2</v>
      </c>
      <c r="N10" s="75">
        <f t="shared" si="0"/>
        <v>3.484737756078337E-2</v>
      </c>
      <c r="O10" s="75">
        <v>10</v>
      </c>
      <c r="P10" s="76">
        <v>0.26512652192481484</v>
      </c>
      <c r="Q10" s="77">
        <f t="shared" ref="Q10:Q21" si="5">D10*_xlfn.NORM.S.DIST(M10,TRUE) - E10*EXP(-I10*K10)*_xlfn.NORM.S.DIST(N10,TRUE)</f>
        <v>3.475111798261203</v>
      </c>
      <c r="R10" s="78">
        <v>0.26829999999999998</v>
      </c>
      <c r="S10" s="283">
        <f t="shared" si="3"/>
        <v>-1.1141679147819161E-4</v>
      </c>
    </row>
    <row r="11" spans="2:19" ht="13.9">
      <c r="B11" s="101" t="str">
        <f>'Bloomberg Raw Data-5th(No zero)'!B9</f>
        <v>MRK 11/15/24 C100</v>
      </c>
      <c r="C11" s="242">
        <f t="shared" si="4"/>
        <v>45423</v>
      </c>
      <c r="D11" s="56">
        <v>101.65</v>
      </c>
      <c r="E11" s="70">
        <f>'Bloomberg Raw Data-5th(No zero)'!A9</f>
        <v>100</v>
      </c>
      <c r="F11" s="56">
        <f>'Bloomberg Raw Data-5th(No zero)'!E9</f>
        <v>2.8000001907348602</v>
      </c>
      <c r="G11" s="56">
        <f>'Bloomberg Raw Data-5th(No zero)'!C9</f>
        <v>2.7300004959106401</v>
      </c>
      <c r="H11" s="56">
        <f>'Bloomberg Raw Data-5th(No zero)'!D9</f>
        <v>2.8400001525878902</v>
      </c>
      <c r="I11" s="246">
        <f>'Q1-(Without Zero Volume)'!J7</f>
        <v>4.6974999999999996E-2</v>
      </c>
      <c r="J11" s="72">
        <v>3.1099999999999999E-2</v>
      </c>
      <c r="K11" s="73">
        <f>'Q1-(Without Zero Volume)'!K7</f>
        <v>3.5714285714285712E-2</v>
      </c>
      <c r="L11" s="74">
        <f t="shared" si="1"/>
        <v>2.7850003242492649</v>
      </c>
      <c r="M11" s="75">
        <f t="shared" si="2"/>
        <v>7.5896596330079474E-2</v>
      </c>
      <c r="N11" s="75">
        <f t="shared" si="0"/>
        <v>3.009895012789407E-2</v>
      </c>
      <c r="O11" s="75">
        <v>55</v>
      </c>
      <c r="P11" s="80">
        <v>0.24233836496620864</v>
      </c>
      <c r="Q11" s="77">
        <f t="shared" si="5"/>
        <v>2.7850761596614859</v>
      </c>
      <c r="R11" s="78">
        <v>0.2636</v>
      </c>
      <c r="S11" s="283">
        <f t="shared" si="3"/>
        <v>-7.5835412221003651E-5</v>
      </c>
    </row>
    <row r="12" spans="2:19" ht="13.9">
      <c r="B12" s="101" t="str">
        <f>'Bloomberg Raw Data-5th(No zero)'!B10</f>
        <v>MRK 11/15/24 C101</v>
      </c>
      <c r="C12" s="242">
        <f t="shared" si="4"/>
        <v>45423</v>
      </c>
      <c r="D12" s="56">
        <v>101.65</v>
      </c>
      <c r="E12" s="70">
        <f>'Bloomberg Raw Data-5th(No zero)'!A10</f>
        <v>101</v>
      </c>
      <c r="F12" s="56">
        <f>'Bloomberg Raw Data-5th(No zero)'!E10</f>
        <v>2.32999992370606</v>
      </c>
      <c r="G12" s="56">
        <f>'Bloomberg Raw Data-5th(No zero)'!C10</f>
        <v>2.1099996566772501</v>
      </c>
      <c r="H12" s="56">
        <f>'Bloomberg Raw Data-5th(No zero)'!D10</f>
        <v>2.21000003814697</v>
      </c>
      <c r="I12" s="246">
        <f>'Q1-(Without Zero Volume)'!J8</f>
        <v>4.6974999999999996E-2</v>
      </c>
      <c r="J12" s="72">
        <v>3.1099999999999999E-2</v>
      </c>
      <c r="K12" s="73">
        <f>'Q1-(Without Zero Volume)'!K8</f>
        <v>3.5714285714285712E-2</v>
      </c>
      <c r="L12" s="74">
        <f t="shared" si="1"/>
        <v>2.1599998474121103</v>
      </c>
      <c r="M12" s="75">
        <f t="shared" si="2"/>
        <v>6.6923336230944611E-2</v>
      </c>
      <c r="N12" s="75">
        <f t="shared" si="0"/>
        <v>2.3904986040044887E-2</v>
      </c>
      <c r="O12" s="75">
        <v>28</v>
      </c>
      <c r="P12" s="80">
        <v>0.22763171283481726</v>
      </c>
      <c r="Q12" s="77">
        <f t="shared" si="5"/>
        <v>2.160033229238735</v>
      </c>
      <c r="R12" s="78">
        <v>0.25729999999999997</v>
      </c>
      <c r="S12" s="283">
        <f t="shared" si="3"/>
        <v>-3.3381826624712119E-5</v>
      </c>
    </row>
    <row r="13" spans="2:19" ht="13.9">
      <c r="B13" s="102" t="str">
        <f>'Bloomberg Raw Data-5th(No zero)'!B11</f>
        <v>MRK 11/15/24 C102</v>
      </c>
      <c r="C13" s="243">
        <f>C12</f>
        <v>45423</v>
      </c>
      <c r="D13" s="57">
        <v>101.65</v>
      </c>
      <c r="E13" s="81">
        <f>'Bloomberg Raw Data-5th(No zero)'!A11</f>
        <v>102</v>
      </c>
      <c r="F13" s="57">
        <f>'Bloomberg Raw Data-5th(No zero)'!E11</f>
        <v>1.6900005340576201</v>
      </c>
      <c r="G13" s="57">
        <f>'Bloomberg Raw Data-5th(No zero)'!C11</f>
        <v>1.5999994277954099</v>
      </c>
      <c r="H13" s="57">
        <f>'Bloomberg Raw Data-5th(No zero)'!D11</f>
        <v>1.65999984741211</v>
      </c>
      <c r="I13" s="247">
        <f>'Q1-(Without Zero Volume)'!J9</f>
        <v>4.6974999999999996E-2</v>
      </c>
      <c r="J13" s="83">
        <v>3.1099999999999999E-2</v>
      </c>
      <c r="K13" s="84">
        <f>'Q1-(Without Zero Volume)'!K9</f>
        <v>3.5714285714285712E-2</v>
      </c>
      <c r="L13" s="85">
        <f t="shared" si="1"/>
        <v>1.62999963760376</v>
      </c>
      <c r="M13" s="86">
        <f t="shared" si="2"/>
        <v>5.7305261098626173E-2</v>
      </c>
      <c r="N13" s="86">
        <f t="shared" si="0"/>
        <v>1.4846553833874142E-2</v>
      </c>
      <c r="O13" s="86">
        <v>41</v>
      </c>
      <c r="P13" s="87">
        <v>0.22467036082365072</v>
      </c>
      <c r="Q13" s="57">
        <f t="shared" si="5"/>
        <v>1.6299864407013871</v>
      </c>
      <c r="R13" s="88">
        <v>0.25290000000000001</v>
      </c>
      <c r="S13" s="284">
        <f t="shared" si="3"/>
        <v>1.3196902372891728E-5</v>
      </c>
    </row>
    <row r="14" spans="2:19" ht="13.9">
      <c r="B14" s="101" t="str">
        <f>'Bloomberg Raw Data-5th(No zero)'!B12</f>
        <v>MRK 11/15/24 C103</v>
      </c>
      <c r="C14" s="242">
        <f>C13</f>
        <v>45423</v>
      </c>
      <c r="D14" s="56">
        <v>101.65</v>
      </c>
      <c r="E14" s="70">
        <f>'Bloomberg Raw Data-5th(No zero)'!A12</f>
        <v>103</v>
      </c>
      <c r="F14" s="56">
        <f>'Bloomberg Raw Data-5th(No zero)'!E12</f>
        <v>1.2799997329711901</v>
      </c>
      <c r="G14" s="56">
        <f>'Bloomberg Raw Data-5th(No zero)'!C12</f>
        <v>1.17000007629395</v>
      </c>
      <c r="H14" s="56">
        <f>'Bloomberg Raw Data-5th(No zero)'!D12</f>
        <v>1.2200002670288099</v>
      </c>
      <c r="I14" s="246">
        <f>'Q1-(Without Zero Volume)'!J10</f>
        <v>4.6974999999999996E-2</v>
      </c>
      <c r="J14" s="72">
        <v>3.1099999999999999E-2</v>
      </c>
      <c r="K14" s="73">
        <f>'Q1-(Without Zero Volume)'!K10</f>
        <v>3.5714285714285712E-2</v>
      </c>
      <c r="L14" s="74">
        <f t="shared" si="1"/>
        <v>1.1950001716613801</v>
      </c>
      <c r="M14" s="75">
        <f t="shared" si="2"/>
        <v>4.6923310372972357E-2</v>
      </c>
      <c r="N14" s="75">
        <f t="shared" si="0"/>
        <v>2.8896956010589503E-3</v>
      </c>
      <c r="O14" s="75">
        <v>89</v>
      </c>
      <c r="P14" s="80">
        <v>0.23300398802740607</v>
      </c>
      <c r="Q14" s="77">
        <f t="shared" si="5"/>
        <v>1.1949452603661825</v>
      </c>
      <c r="R14" s="78">
        <v>0.24959999999999999</v>
      </c>
      <c r="S14" s="283">
        <f t="shared" si="3"/>
        <v>5.4911295197523913E-5</v>
      </c>
    </row>
    <row r="15" spans="2:19" ht="13.9">
      <c r="B15" s="101" t="str">
        <f>'Bloomberg Raw Data-5th(No zero)'!B13</f>
        <v>MRK 11/15/24 C104</v>
      </c>
      <c r="C15" s="242">
        <f t="shared" ref="C15:C21" si="6">C14</f>
        <v>45423</v>
      </c>
      <c r="D15" s="56">
        <v>101.65</v>
      </c>
      <c r="E15" s="70">
        <f>'Bloomberg Raw Data-5th(No zero)'!A13</f>
        <v>104</v>
      </c>
      <c r="F15" s="56">
        <f>'Bloomberg Raw Data-5th(No zero)'!E13</f>
        <v>0.87000000476837203</v>
      </c>
      <c r="G15" s="56">
        <f>'Bloomberg Raw Data-5th(No zero)'!C13</f>
        <v>0.81999999284744296</v>
      </c>
      <c r="H15" s="56">
        <f>'Bloomberg Raw Data-5th(No zero)'!D13</f>
        <v>0.87000000476837203</v>
      </c>
      <c r="I15" s="246">
        <f>'Q1-(Without Zero Volume)'!J11</f>
        <v>4.6974999999999996E-2</v>
      </c>
      <c r="J15" s="72">
        <v>3.1099999999999999E-2</v>
      </c>
      <c r="K15" s="73">
        <f>'Q1-(Without Zero Volume)'!K11</f>
        <v>3.5714285714285712E-2</v>
      </c>
      <c r="L15" s="74">
        <f t="shared" si="1"/>
        <v>0.84499999880790755</v>
      </c>
      <c r="M15" s="75">
        <f t="shared" si="2"/>
        <v>3.6231596626149692E-2</v>
      </c>
      <c r="N15" s="75">
        <f t="shared" si="0"/>
        <v>-1.1197263586661066E-2</v>
      </c>
      <c r="O15" s="75">
        <v>56</v>
      </c>
      <c r="P15" s="80">
        <v>0.25096993818068652</v>
      </c>
      <c r="Q15" s="77">
        <f t="shared" si="5"/>
        <v>0.84491193781543217</v>
      </c>
      <c r="R15" s="78">
        <v>0.24640000000000001</v>
      </c>
      <c r="S15" s="283">
        <f t="shared" si="3"/>
        <v>8.8060992475380573E-5</v>
      </c>
    </row>
    <row r="16" spans="2:19" ht="13.9">
      <c r="B16" s="101" t="str">
        <f>'Bloomberg Raw Data-5th(No zero)'!B14</f>
        <v>MRK 11/15/24 C105</v>
      </c>
      <c r="C16" s="242">
        <f t="shared" si="6"/>
        <v>45423</v>
      </c>
      <c r="D16" s="56">
        <v>101.65</v>
      </c>
      <c r="E16" s="70">
        <f>'Bloomberg Raw Data-5th(No zero)'!A14</f>
        <v>105</v>
      </c>
      <c r="F16" s="56">
        <f>'Bloomberg Raw Data-5th(No zero)'!E14</f>
        <v>0.56999999284744296</v>
      </c>
      <c r="G16" s="56">
        <f>'Bloomberg Raw Data-5th(No zero)'!C14</f>
        <v>0.56999999284744296</v>
      </c>
      <c r="H16" s="56">
        <f>'Bloomberg Raw Data-5th(No zero)'!D14</f>
        <v>0.61000001430511497</v>
      </c>
      <c r="I16" s="246">
        <f>'Q1-(Without Zero Volume)'!J12</f>
        <v>4.6974999999999996E-2</v>
      </c>
      <c r="J16" s="72">
        <v>3.1099999999999999E-2</v>
      </c>
      <c r="K16" s="73">
        <f>'Q1-(Without Zero Volume)'!K12</f>
        <v>3.5714285714285712E-2</v>
      </c>
      <c r="L16" s="74">
        <f t="shared" si="1"/>
        <v>0.59000000357627891</v>
      </c>
      <c r="M16" s="75">
        <f t="shared" si="2"/>
        <v>2.5745261605786267E-2</v>
      </c>
      <c r="N16" s="75">
        <f t="shared" si="0"/>
        <v>-2.7095635903156147E-2</v>
      </c>
      <c r="O16" s="75">
        <v>660</v>
      </c>
      <c r="P16" s="80">
        <v>0.27960774772422814</v>
      </c>
      <c r="Q16" s="77">
        <f t="shared" si="5"/>
        <v>0.58988947492141364</v>
      </c>
      <c r="R16" s="78">
        <v>0.246</v>
      </c>
      <c r="S16" s="283">
        <f t="shared" si="3"/>
        <v>1.1052865486527175E-4</v>
      </c>
    </row>
    <row r="17" spans="2:19" ht="13.9">
      <c r="B17" s="101" t="str">
        <f>'Bloomberg Raw Data-5th(No zero)'!B15</f>
        <v>MRK 11/15/24 C106</v>
      </c>
      <c r="C17" s="242">
        <f t="shared" si="6"/>
        <v>45423</v>
      </c>
      <c r="D17" s="56">
        <v>101.65</v>
      </c>
      <c r="E17" s="70">
        <f>'Bloomberg Raw Data-5th(No zero)'!A15</f>
        <v>106</v>
      </c>
      <c r="F17" s="56">
        <f>'Bloomberg Raw Data-5th(No zero)'!E15</f>
        <v>0.40000003576278698</v>
      </c>
      <c r="G17" s="56">
        <f>'Bloomberg Raw Data-5th(No zero)'!C15</f>
        <v>0.38999998569488498</v>
      </c>
      <c r="H17" s="56">
        <f>'Bloomberg Raw Data-5th(No zero)'!D15</f>
        <v>0.42000001668929998</v>
      </c>
      <c r="I17" s="246">
        <f>'Q1-(Without Zero Volume)'!J13</f>
        <v>4.6974999999999996E-2</v>
      </c>
      <c r="J17" s="72">
        <v>3.1099999999999999E-2</v>
      </c>
      <c r="K17" s="73">
        <f>'Q1-(Without Zero Volume)'!K13</f>
        <v>3.5714285714285712E-2</v>
      </c>
      <c r="L17" s="74">
        <f t="shared" si="1"/>
        <v>0.40500000119209245</v>
      </c>
      <c r="M17" s="75">
        <f t="shared" si="2"/>
        <v>1.6046894213893249E-2</v>
      </c>
      <c r="N17" s="75">
        <f t="shared" si="0"/>
        <v>-4.3605702593147916E-2</v>
      </c>
      <c r="O17" s="75">
        <v>107</v>
      </c>
      <c r="P17" s="80">
        <v>0.31565187242127318</v>
      </c>
      <c r="Q17" s="77">
        <f t="shared" si="5"/>
        <v>0.40487442081359148</v>
      </c>
      <c r="R17" s="78">
        <v>0.24679999999999999</v>
      </c>
      <c r="S17" s="283">
        <f t="shared" si="3"/>
        <v>1.2558037850096682E-4</v>
      </c>
    </row>
    <row r="18" spans="2:19" ht="13.9">
      <c r="B18" s="101" t="str">
        <f>'Bloomberg Raw Data-5th(No zero)'!B16</f>
        <v>MRK 11/15/24 C107</v>
      </c>
      <c r="C18" s="242">
        <f t="shared" si="6"/>
        <v>45423</v>
      </c>
      <c r="D18" s="56">
        <v>101.65</v>
      </c>
      <c r="E18" s="70">
        <f>'Bloomberg Raw Data-5th(No zero)'!A16</f>
        <v>107</v>
      </c>
      <c r="F18" s="56">
        <f>'Bloomberg Raw Data-5th(No zero)'!E16</f>
        <v>0.30000001192092901</v>
      </c>
      <c r="G18" s="56">
        <f>'Bloomberg Raw Data-5th(No zero)'!C16</f>
        <v>0.240000009536743</v>
      </c>
      <c r="H18" s="56">
        <f>'Bloomberg Raw Data-5th(No zero)'!D16</f>
        <v>0.29000002145767201</v>
      </c>
      <c r="I18" s="246">
        <f>'Q1-(Without Zero Volume)'!J14</f>
        <v>4.6974999999999996E-2</v>
      </c>
      <c r="J18" s="72">
        <v>3.1099999999999999E-2</v>
      </c>
      <c r="K18" s="73">
        <f>'Q1-(Without Zero Volume)'!K14</f>
        <v>3.5714285714285712E-2</v>
      </c>
      <c r="L18" s="74">
        <f t="shared" si="1"/>
        <v>0.26500001549720753</v>
      </c>
      <c r="M18" s="75">
        <f t="shared" si="2"/>
        <v>7.2812089574514419E-3</v>
      </c>
      <c r="N18" s="75">
        <f t="shared" si="0"/>
        <v>-5.9989000181590153E-2</v>
      </c>
      <c r="O18" s="75">
        <v>36</v>
      </c>
      <c r="P18" s="80">
        <v>0.35596048805041702</v>
      </c>
      <c r="Q18" s="77">
        <f t="shared" si="5"/>
        <v>0.26486396438820492</v>
      </c>
      <c r="R18" s="78">
        <v>0.246</v>
      </c>
      <c r="S18" s="283">
        <f t="shared" si="3"/>
        <v>1.3605110900261064E-4</v>
      </c>
    </row>
    <row r="19" spans="2:19" ht="13.9">
      <c r="B19" s="101" t="str">
        <f>'Bloomberg Raw Data-5th(No zero)'!B17</f>
        <v>MRK 11/15/24 C110</v>
      </c>
      <c r="C19" s="242">
        <f t="shared" si="6"/>
        <v>45423</v>
      </c>
      <c r="D19" s="56">
        <v>101.65</v>
      </c>
      <c r="E19" s="70">
        <f>'Bloomberg Raw Data-5th(No zero)'!A17</f>
        <v>110</v>
      </c>
      <c r="F19" s="56">
        <f>'Bloomberg Raw Data-5th(No zero)'!E17</f>
        <v>9.0000033378601102E-2</v>
      </c>
      <c r="G19" s="56">
        <f>'Bloomberg Raw Data-5th(No zero)'!C17</f>
        <v>9.0000033378601102E-2</v>
      </c>
      <c r="H19" s="56">
        <f>'Bloomberg Raw Data-5th(No zero)'!D17</f>
        <v>0.120000004768372</v>
      </c>
      <c r="I19" s="246">
        <f>'Q1-(Without Zero Volume)'!J15</f>
        <v>4.6974999999999996E-2</v>
      </c>
      <c r="J19" s="72">
        <v>3.1099999999999999E-2</v>
      </c>
      <c r="K19" s="73">
        <f>'Q1-(Without Zero Volume)'!K15</f>
        <v>3.5714285714285712E-2</v>
      </c>
      <c r="L19" s="74">
        <f t="shared" si="1"/>
        <v>0.10500001907348655</v>
      </c>
      <c r="M19" s="75">
        <f t="shared" si="2"/>
        <v>-1.3857542697903791E-2</v>
      </c>
      <c r="N19" s="75">
        <f t="shared" si="0"/>
        <v>-0.10862642385712361</v>
      </c>
      <c r="O19" s="75">
        <v>114</v>
      </c>
      <c r="P19" s="80">
        <v>0.50146978315026047</v>
      </c>
      <c r="Q19" s="77">
        <f t="shared" si="5"/>
        <v>0.10484612565236517</v>
      </c>
      <c r="R19" s="78">
        <v>0.27050000000000002</v>
      </c>
      <c r="S19" s="283">
        <f t="shared" si="3"/>
        <v>1.5389342112137605E-4</v>
      </c>
    </row>
    <row r="20" spans="2:19" ht="13.9">
      <c r="B20" s="101" t="str">
        <f>'Bloomberg Raw Data-5th(No zero)'!B18</f>
        <v>MRK 11/15/24 C114</v>
      </c>
      <c r="C20" s="242">
        <f t="shared" si="6"/>
        <v>45423</v>
      </c>
      <c r="D20" s="56">
        <v>101.65</v>
      </c>
      <c r="E20" s="70">
        <f>'Bloomberg Raw Data-5th(No zero)'!A18</f>
        <v>114</v>
      </c>
      <c r="F20" s="56">
        <f>'Bloomberg Raw Data-5th(No zero)'!E18</f>
        <v>5.9999998658895499E-2</v>
      </c>
      <c r="G20" s="56">
        <f>'Bloomberg Raw Data-5th(No zero)'!C18</f>
        <v>1.9999999552965199E-2</v>
      </c>
      <c r="H20" s="56">
        <f>'Bloomberg Raw Data-5th(No zero)'!D18</f>
        <v>0.120000004768372</v>
      </c>
      <c r="I20" s="246">
        <f>'Q1-(Without Zero Volume)'!J16</f>
        <v>4.6974999999999996E-2</v>
      </c>
      <c r="J20" s="72">
        <v>3.1099999999999999E-2</v>
      </c>
      <c r="K20" s="73">
        <f>'Q1-(Without Zero Volume)'!K16</f>
        <v>3.5714285714285712E-2</v>
      </c>
      <c r="L20" s="74">
        <f t="shared" si="1"/>
        <v>7.0000002160668595E-2</v>
      </c>
      <c r="M20" s="75">
        <f t="shared" si="2"/>
        <v>-3.5793304622172104E-2</v>
      </c>
      <c r="N20" s="75">
        <f t="shared" si="0"/>
        <v>-0.16818913782136036</v>
      </c>
      <c r="O20" s="75">
        <v>30</v>
      </c>
      <c r="P20" s="80">
        <v>0.70057289853248228</v>
      </c>
      <c r="Q20" s="77">
        <f t="shared" si="5"/>
        <v>6.9822460163166511E-2</v>
      </c>
      <c r="R20" s="78">
        <v>0.3387</v>
      </c>
      <c r="S20" s="283">
        <f t="shared" si="3"/>
        <v>1.7754199750208421E-4</v>
      </c>
    </row>
    <row r="21" spans="2:19" ht="13.9">
      <c r="B21" s="101" t="str">
        <f>'Bloomberg Raw Data-5th(No zero)'!B19</f>
        <v>MRK 11/15/24 C130</v>
      </c>
      <c r="C21" s="242">
        <f t="shared" si="6"/>
        <v>45423</v>
      </c>
      <c r="D21" s="56">
        <v>101.65</v>
      </c>
      <c r="E21" s="70">
        <f>'Bloomberg Raw Data-5th(No zero)'!A19</f>
        <v>130</v>
      </c>
      <c r="F21" s="56">
        <f>'Bloomberg Raw Data-5th(No zero)'!E19</f>
        <v>1.00000016391277E-2</v>
      </c>
      <c r="G21" s="56">
        <f>'Bloomberg Raw Data-5th(No zero)'!C19</f>
        <v>0</v>
      </c>
      <c r="H21" s="56">
        <f>'Bloomberg Raw Data-5th(No zero)'!D19</f>
        <v>3.9999999105930301E-2</v>
      </c>
      <c r="I21" s="246">
        <f>'Q1-(Without Zero Volume)'!J17</f>
        <v>4.6974999999999996E-2</v>
      </c>
      <c r="J21" s="72">
        <v>3.1099999999999999E-2</v>
      </c>
      <c r="K21" s="73">
        <f>'Q1-(Without Zero Volume)'!K17</f>
        <v>3.5714285714285712E-2</v>
      </c>
      <c r="L21" s="74">
        <f t="shared" si="1"/>
        <v>1.999999955296515E-2</v>
      </c>
      <c r="M21" s="75">
        <f t="shared" si="2"/>
        <v>-0.11154584649022994</v>
      </c>
      <c r="N21" s="75">
        <f t="shared" si="0"/>
        <v>-0.36733426898216925</v>
      </c>
      <c r="O21" s="75">
        <v>10</v>
      </c>
      <c r="P21" s="80">
        <v>1.353505108326384</v>
      </c>
      <c r="Q21" s="77">
        <f t="shared" si="5"/>
        <v>1.9598932945179115E-2</v>
      </c>
      <c r="R21" s="78">
        <v>0.59250000000000003</v>
      </c>
      <c r="S21" s="283">
        <f t="shared" si="3"/>
        <v>4.0106660778603531E-4</v>
      </c>
    </row>
    <row r="25" spans="2:19" ht="13.9" customHeight="1">
      <c r="B25" s="437" t="s">
        <v>219</v>
      </c>
      <c r="C25" s="437"/>
      <c r="D25" s="437"/>
      <c r="E25" s="437"/>
      <c r="F25" s="437"/>
      <c r="G25" s="437"/>
      <c r="H25" s="437"/>
      <c r="I25" s="437"/>
      <c r="J25" s="437"/>
      <c r="K25" s="437"/>
      <c r="L25" s="437"/>
      <c r="M25" s="437"/>
      <c r="N25" s="437"/>
      <c r="O25" s="437"/>
      <c r="P25" s="437"/>
      <c r="Q25" s="437"/>
      <c r="R25" s="437"/>
      <c r="S25" s="437"/>
    </row>
    <row r="26" spans="2:19" ht="13.9" customHeight="1">
      <c r="B26" s="437"/>
      <c r="C26" s="437"/>
      <c r="D26" s="437"/>
      <c r="E26" s="437"/>
      <c r="F26" s="437"/>
      <c r="G26" s="437"/>
      <c r="H26" s="437"/>
      <c r="I26" s="437"/>
      <c r="J26" s="437"/>
      <c r="K26" s="437"/>
      <c r="L26" s="437"/>
      <c r="M26" s="437"/>
      <c r="N26" s="437"/>
      <c r="O26" s="437"/>
      <c r="P26" s="437"/>
      <c r="Q26" s="437"/>
      <c r="R26" s="437"/>
      <c r="S26" s="437"/>
    </row>
    <row r="27" spans="2:19" ht="13.9" customHeight="1">
      <c r="B27" s="437"/>
      <c r="C27" s="437"/>
      <c r="D27" s="437"/>
      <c r="E27" s="437"/>
      <c r="F27" s="437"/>
      <c r="G27" s="437"/>
      <c r="H27" s="437"/>
      <c r="I27" s="437"/>
      <c r="J27" s="437"/>
      <c r="K27" s="437"/>
      <c r="L27" s="437"/>
      <c r="M27" s="437"/>
      <c r="N27" s="437"/>
      <c r="O27" s="437"/>
      <c r="P27" s="437"/>
      <c r="Q27" s="437"/>
      <c r="R27" s="437"/>
      <c r="S27" s="437"/>
    </row>
    <row r="28" spans="2:19" ht="41.45">
      <c r="B28" s="10" t="s">
        <v>38</v>
      </c>
      <c r="C28" s="11" t="s">
        <v>39</v>
      </c>
      <c r="D28" s="11" t="s">
        <v>33</v>
      </c>
      <c r="E28" s="11" t="s">
        <v>4</v>
      </c>
      <c r="F28" s="11" t="s">
        <v>209</v>
      </c>
      <c r="G28" s="10" t="s">
        <v>6</v>
      </c>
      <c r="H28" s="10" t="s">
        <v>7</v>
      </c>
      <c r="I28" s="11" t="s">
        <v>210</v>
      </c>
      <c r="J28" s="11" t="s">
        <v>211</v>
      </c>
      <c r="K28" s="11" t="s">
        <v>220</v>
      </c>
      <c r="L28" s="12" t="s">
        <v>11</v>
      </c>
      <c r="M28" s="10" t="s">
        <v>213</v>
      </c>
      <c r="N28" s="10" t="s">
        <v>214</v>
      </c>
      <c r="O28" s="10" t="s">
        <v>40</v>
      </c>
      <c r="P28" s="13" t="s">
        <v>215</v>
      </c>
      <c r="Q28" s="11" t="s">
        <v>221</v>
      </c>
      <c r="R28" s="11" t="s">
        <v>217</v>
      </c>
      <c r="S28" s="180" t="s">
        <v>218</v>
      </c>
    </row>
    <row r="29" spans="2:19" ht="13.9">
      <c r="B29" s="103" t="str">
        <f>'Bloomberg Raw Data-5th(No zero)'!I6</f>
        <v>MRK 11/15/24 P95</v>
      </c>
      <c r="C29" s="244">
        <f>C8</f>
        <v>45423</v>
      </c>
      <c r="D29" s="90">
        <v>101.65</v>
      </c>
      <c r="E29" s="91">
        <f>'Bloomberg Raw Data-5th(No zero)'!H6</f>
        <v>95</v>
      </c>
      <c r="F29" s="90">
        <f>'Bloomberg Raw Data-5th(No zero)'!L6</f>
        <v>0.240000009536743</v>
      </c>
      <c r="G29" s="90">
        <v>7.9999983310699505E-2</v>
      </c>
      <c r="H29" s="90">
        <v>0.259999990463257</v>
      </c>
      <c r="I29" s="92">
        <f>I8</f>
        <v>4.6974999999999996E-2</v>
      </c>
      <c r="J29" s="93">
        <f>J8</f>
        <v>3.1099999999999999E-2</v>
      </c>
      <c r="K29" s="94">
        <f>K8</f>
        <v>3.5714285714285712E-2</v>
      </c>
      <c r="L29" s="95">
        <f>(G29+H29)/2</f>
        <v>0.16999998688697826</v>
      </c>
      <c r="M29" s="96">
        <f>(LN(D29/E29) + ((I29+ (P29^2) / 2)*K29) / (P29*SQRT(K29)))</f>
        <v>0.1300362147713002</v>
      </c>
      <c r="N29" s="96">
        <f t="shared" ref="N29:N42" si="7">M29-P29*SQRT(K29)</f>
        <v>4.4515536445826134E-2</v>
      </c>
      <c r="O29" s="96">
        <v>24</v>
      </c>
      <c r="P29" s="97">
        <v>0.4525328936055123</v>
      </c>
      <c r="Q29" s="98">
        <f t="shared" ref="Q29:Q42" si="8">E29*EXP(-I29*K29)*_xlfn.NORM.S.DIST(-N29,TRUE)-D29*_xlfn.NORM.S.DIST(-M29,TRUE)</f>
        <v>0.17011154085714253</v>
      </c>
      <c r="R29" s="97">
        <v>0.31934274414062491</v>
      </c>
      <c r="S29" s="283">
        <f>L29-Q29</f>
        <v>-1.1155397016426871E-4</v>
      </c>
    </row>
    <row r="30" spans="2:19" ht="13.9">
      <c r="B30" s="103" t="str">
        <f>'Bloomberg Raw Data-5th(No zero)'!I7</f>
        <v>MRK 11/15/24 P98</v>
      </c>
      <c r="C30" s="244">
        <f t="shared" ref="C30:C33" si="9">C9</f>
        <v>45423</v>
      </c>
      <c r="D30" s="56">
        <v>101.65</v>
      </c>
      <c r="E30" s="91">
        <f>'Bloomberg Raw Data-5th(No zero)'!H7</f>
        <v>98</v>
      </c>
      <c r="F30" s="90">
        <f>'Bloomberg Raw Data-5th(No zero)'!L7</f>
        <v>0.60000002384185802</v>
      </c>
      <c r="G30" s="56">
        <v>0.56000000238418601</v>
      </c>
      <c r="H30" s="56">
        <v>0.66000002622604403</v>
      </c>
      <c r="I30" s="71">
        <f t="shared" ref="I30:J42" si="10">I9</f>
        <v>4.6974999999999996E-2</v>
      </c>
      <c r="J30" s="72">
        <f t="shared" si="10"/>
        <v>3.1099999999999999E-2</v>
      </c>
      <c r="K30" s="73">
        <f t="shared" ref="K30:K42" si="11">K9</f>
        <v>3.5714285714285712E-2</v>
      </c>
      <c r="L30" s="74">
        <f t="shared" ref="L30:L42" si="12">(G30+H30)/2</f>
        <v>0.61000001430511497</v>
      </c>
      <c r="M30" s="75">
        <f t="shared" ref="M30:M42" si="13">(LN(D30/E30) + ((I30+ (P30^2) / 2)*K30) / (P30*SQRT(K30)))</f>
        <v>9.4568370804315544E-2</v>
      </c>
      <c r="N30" s="75">
        <f t="shared" si="7"/>
        <v>3.3622089968030976E-2</v>
      </c>
      <c r="O30" s="75">
        <v>124</v>
      </c>
      <c r="P30" s="80">
        <v>0.32249740485422129</v>
      </c>
      <c r="Q30" s="77">
        <f t="shared" si="8"/>
        <v>0.61008629371516321</v>
      </c>
      <c r="R30" s="80">
        <v>0.29785858398437493</v>
      </c>
      <c r="S30" s="283">
        <f>L30-Q30</f>
        <v>-8.6279410048240024E-5</v>
      </c>
    </row>
    <row r="31" spans="2:19" ht="13.9">
      <c r="B31" s="103" t="str">
        <f>'Bloomberg Raw Data-5th(No zero)'!I8</f>
        <v>MRK 11/15/24 P99</v>
      </c>
      <c r="C31" s="244">
        <f t="shared" si="9"/>
        <v>45423</v>
      </c>
      <c r="D31" s="56">
        <v>101.65</v>
      </c>
      <c r="E31" s="91">
        <f>'Bloomberg Raw Data-5th(No zero)'!H8</f>
        <v>99</v>
      </c>
      <c r="F31" s="90">
        <f>'Bloomberg Raw Data-5th(No zero)'!L8</f>
        <v>0.87999999523162797</v>
      </c>
      <c r="G31" s="56">
        <v>0.87000000476837203</v>
      </c>
      <c r="H31" s="56">
        <v>0.88999998569488503</v>
      </c>
      <c r="I31" s="71">
        <f t="shared" si="10"/>
        <v>4.6974999999999996E-2</v>
      </c>
      <c r="J31" s="72">
        <f t="shared" si="10"/>
        <v>3.1099999999999999E-2</v>
      </c>
      <c r="K31" s="73">
        <f t="shared" si="11"/>
        <v>3.5714285714285712E-2</v>
      </c>
      <c r="L31" s="74">
        <f t="shared" si="12"/>
        <v>0.87999999523162853</v>
      </c>
      <c r="M31" s="75">
        <f t="shared" si="13"/>
        <v>8.4384619893471347E-2</v>
      </c>
      <c r="N31" s="75">
        <f t="shared" si="7"/>
        <v>2.8660616914187476E-2</v>
      </c>
      <c r="O31" s="75">
        <v>56</v>
      </c>
      <c r="P31" s="80">
        <v>0.29486370788041494</v>
      </c>
      <c r="Q31" s="77">
        <f t="shared" si="8"/>
        <v>0.88006640724809415</v>
      </c>
      <c r="R31" s="80">
        <v>0.2924875439453124</v>
      </c>
      <c r="S31" s="283">
        <f t="shared" ref="S31:S42" si="14">L31-Q31</f>
        <v>-6.6412016465622337E-5</v>
      </c>
    </row>
    <row r="32" spans="2:19" ht="13.9">
      <c r="B32" s="103" t="str">
        <f>'Bloomberg Raw Data-5th(No zero)'!I9</f>
        <v>MRK 11/15/24 P100</v>
      </c>
      <c r="C32" s="244">
        <f t="shared" si="9"/>
        <v>45423</v>
      </c>
      <c r="D32" s="56">
        <v>101.65</v>
      </c>
      <c r="E32" s="91">
        <f>'Bloomberg Raw Data-5th(No zero)'!H9</f>
        <v>100</v>
      </c>
      <c r="F32" s="90">
        <f>'Bloomberg Raw Data-5th(No zero)'!L9</f>
        <v>1.17000007629395</v>
      </c>
      <c r="G32" s="56">
        <v>1.0600004196167001</v>
      </c>
      <c r="H32" s="56">
        <v>1.19999980926514</v>
      </c>
      <c r="I32" s="71">
        <f t="shared" si="10"/>
        <v>4.6974999999999996E-2</v>
      </c>
      <c r="J32" s="72">
        <f t="shared" si="10"/>
        <v>3.1099999999999999E-2</v>
      </c>
      <c r="K32" s="73">
        <f t="shared" si="11"/>
        <v>3.5714285714285712E-2</v>
      </c>
      <c r="L32" s="74">
        <f t="shared" si="12"/>
        <v>1.1300001144409202</v>
      </c>
      <c r="M32" s="75">
        <f t="shared" si="13"/>
        <v>7.4936723690647619E-2</v>
      </c>
      <c r="N32" s="75">
        <f t="shared" si="7"/>
        <v>2.503992580342377E-2</v>
      </c>
      <c r="O32" s="75">
        <v>84</v>
      </c>
      <c r="P32" s="80">
        <v>0.2640290368560948</v>
      </c>
      <c r="Q32" s="77">
        <f t="shared" si="8"/>
        <v>1.1300450588006044</v>
      </c>
      <c r="R32" s="80">
        <v>0.29102271484374992</v>
      </c>
      <c r="S32" s="283">
        <f t="shared" si="14"/>
        <v>-4.4944359684162549E-5</v>
      </c>
    </row>
    <row r="33" spans="2:19" ht="13.9">
      <c r="B33" s="103" t="str">
        <f>'Bloomberg Raw Data-5th(No zero)'!I10</f>
        <v>MRK 11/15/24 P101</v>
      </c>
      <c r="C33" s="244">
        <f t="shared" si="9"/>
        <v>45423</v>
      </c>
      <c r="D33" s="56">
        <v>101.65</v>
      </c>
      <c r="E33" s="91">
        <f>'Bloomberg Raw Data-5th(No zero)'!H10</f>
        <v>101</v>
      </c>
      <c r="F33" s="90">
        <f>'Bloomberg Raw Data-5th(No zero)'!L10</f>
        <v>1.4800004959106401</v>
      </c>
      <c r="G33" s="56">
        <v>1.50999927520752</v>
      </c>
      <c r="H33" s="56">
        <v>1.59000015258789</v>
      </c>
      <c r="I33" s="71">
        <f t="shared" si="10"/>
        <v>4.6974999999999996E-2</v>
      </c>
      <c r="J33" s="72">
        <f t="shared" si="10"/>
        <v>3.1099999999999999E-2</v>
      </c>
      <c r="K33" s="73">
        <f t="shared" si="11"/>
        <v>3.5714285714285712E-2</v>
      </c>
      <c r="L33" s="74">
        <f t="shared" si="12"/>
        <v>1.5499997138977051</v>
      </c>
      <c r="M33" s="75">
        <f t="shared" si="13"/>
        <v>6.5314496661399213E-2</v>
      </c>
      <c r="N33" s="75">
        <f t="shared" si="7"/>
        <v>1.7082301577370854E-2</v>
      </c>
      <c r="O33" s="75">
        <v>100</v>
      </c>
      <c r="P33" s="80">
        <v>0.25522078675818227</v>
      </c>
      <c r="Q33" s="77">
        <f t="shared" si="8"/>
        <v>1.5500183833608929</v>
      </c>
      <c r="R33" s="80">
        <v>0.29004616210937489</v>
      </c>
      <c r="S33" s="283">
        <f t="shared" si="14"/>
        <v>-1.8669463187848123E-5</v>
      </c>
    </row>
    <row r="34" spans="2:19" ht="13.9">
      <c r="B34" s="104" t="str">
        <f>'Bloomberg Raw Data-5th(No zero)'!I11</f>
        <v>MRK 11/15/24 P102</v>
      </c>
      <c r="C34" s="245">
        <f>C13</f>
        <v>45423</v>
      </c>
      <c r="D34" s="57">
        <v>101.65</v>
      </c>
      <c r="E34" s="99">
        <f>'Bloomberg Raw Data-5th(No zero)'!H11</f>
        <v>102</v>
      </c>
      <c r="F34" s="100">
        <f>'Bloomberg Raw Data-5th(No zero)'!L11</f>
        <v>2.0200004577636701</v>
      </c>
      <c r="G34" s="57">
        <v>1.96999931335449</v>
      </c>
      <c r="H34" s="57">
        <v>2.0600004196167001</v>
      </c>
      <c r="I34" s="82">
        <f t="shared" si="10"/>
        <v>4.6974999999999996E-2</v>
      </c>
      <c r="J34" s="83">
        <f t="shared" si="10"/>
        <v>3.1099999999999999E-2</v>
      </c>
      <c r="K34" s="84">
        <f t="shared" si="11"/>
        <v>3.5714285714285712E-2</v>
      </c>
      <c r="L34" s="85">
        <f t="shared" si="12"/>
        <v>2.0149998664855948</v>
      </c>
      <c r="M34" s="86">
        <f t="shared" si="13"/>
        <v>5.5626417954381592E-2</v>
      </c>
      <c r="N34" s="86">
        <f t="shared" si="7"/>
        <v>8.1023312501306219E-3</v>
      </c>
      <c r="O34" s="86">
        <v>65</v>
      </c>
      <c r="P34" s="87">
        <v>0.25147382940983859</v>
      </c>
      <c r="Q34" s="57">
        <f t="shared" si="8"/>
        <v>2.0149919691017786</v>
      </c>
      <c r="R34" s="87">
        <v>0.29077857666015622</v>
      </c>
      <c r="S34" s="284">
        <f t="shared" si="14"/>
        <v>7.8973838162355037E-6</v>
      </c>
    </row>
    <row r="35" spans="2:19" ht="13.9">
      <c r="B35" s="103" t="str">
        <f>'Bloomberg Raw Data-5th(No zero)'!I12</f>
        <v>MRK 11/15/24 P103</v>
      </c>
      <c r="C35" s="244">
        <f>C14</f>
        <v>45423</v>
      </c>
      <c r="D35" s="56">
        <v>101.65</v>
      </c>
      <c r="E35" s="91">
        <f>'Bloomberg Raw Data-5th(No zero)'!H12</f>
        <v>103</v>
      </c>
      <c r="F35" s="90">
        <f>'Bloomberg Raw Data-5th(No zero)'!L12</f>
        <v>2.5900001525878902</v>
      </c>
      <c r="G35" s="56">
        <v>2.5500001907348602</v>
      </c>
      <c r="H35" s="56">
        <v>2.6199998855590798</v>
      </c>
      <c r="I35" s="71">
        <f t="shared" si="10"/>
        <v>4.6974999999999996E-2</v>
      </c>
      <c r="J35" s="72">
        <f t="shared" si="10"/>
        <v>3.1099999999999999E-2</v>
      </c>
      <c r="K35" s="73">
        <f t="shared" si="11"/>
        <v>3.5714285714285712E-2</v>
      </c>
      <c r="L35" s="74">
        <f t="shared" si="12"/>
        <v>2.58500003814697</v>
      </c>
      <c r="M35" s="75">
        <f t="shared" si="13"/>
        <v>4.5505639926111487E-2</v>
      </c>
      <c r="N35" s="75">
        <f t="shared" si="7"/>
        <v>-3.6947219917452742E-3</v>
      </c>
      <c r="O35" s="75">
        <v>28</v>
      </c>
      <c r="P35" s="80">
        <v>0.26034384409804379</v>
      </c>
      <c r="Q35" s="77">
        <f t="shared" si="8"/>
        <v>2.5849671688376787</v>
      </c>
      <c r="R35" s="80">
        <v>0.30396203857421872</v>
      </c>
      <c r="S35" s="283">
        <f t="shared" si="14"/>
        <v>3.2869309291250204E-5</v>
      </c>
    </row>
    <row r="36" spans="2:19" ht="13.9">
      <c r="B36" s="103" t="str">
        <f>'Bloomberg Raw Data-5th(No zero)'!I13</f>
        <v>MRK 11/15/24 P104</v>
      </c>
      <c r="C36" s="244">
        <f t="shared" ref="C36:C42" si="15">C15</f>
        <v>45423</v>
      </c>
      <c r="D36" s="56">
        <v>101.65</v>
      </c>
      <c r="E36" s="91">
        <f>'Bloomberg Raw Data-5th(No zero)'!H13</f>
        <v>104</v>
      </c>
      <c r="F36" s="90">
        <f>'Bloomberg Raw Data-5th(No zero)'!L13</f>
        <v>3.3000001907348602</v>
      </c>
      <c r="G36" s="56">
        <v>3.1999998092651398</v>
      </c>
      <c r="H36" s="56">
        <v>3.3500003814697301</v>
      </c>
      <c r="I36" s="71">
        <f t="shared" si="10"/>
        <v>4.6974999999999996E-2</v>
      </c>
      <c r="J36" s="72">
        <f t="shared" si="10"/>
        <v>3.1099999999999999E-2</v>
      </c>
      <c r="K36" s="73">
        <f t="shared" si="11"/>
        <v>3.5714285714285712E-2</v>
      </c>
      <c r="L36" s="74">
        <f t="shared" si="12"/>
        <v>3.2750000953674352</v>
      </c>
      <c r="M36" s="75">
        <f t="shared" si="13"/>
        <v>3.5248876422521835E-2</v>
      </c>
      <c r="N36" s="75">
        <f t="shared" si="7"/>
        <v>-1.8300686854152884E-2</v>
      </c>
      <c r="O36" s="75">
        <v>29</v>
      </c>
      <c r="P36" s="80">
        <v>0.2833576544923968</v>
      </c>
      <c r="Q36" s="77">
        <f t="shared" si="8"/>
        <v>3.2749477060001126</v>
      </c>
      <c r="R36" s="80">
        <v>0.30127651855468751</v>
      </c>
      <c r="S36" s="283">
        <f t="shared" si="14"/>
        <v>5.2389367322547287E-5</v>
      </c>
    </row>
    <row r="37" spans="2:19" ht="13.9">
      <c r="B37" s="103" t="str">
        <f>'Bloomberg Raw Data-5th(No zero)'!I14</f>
        <v>MRK 11/15/24 P105</v>
      </c>
      <c r="C37" s="244">
        <f t="shared" si="15"/>
        <v>45423</v>
      </c>
      <c r="D37" s="56">
        <v>101.65</v>
      </c>
      <c r="E37" s="91">
        <f>'Bloomberg Raw Data-5th(No zero)'!H14</f>
        <v>105</v>
      </c>
      <c r="F37" s="90">
        <f>'Bloomberg Raw Data-5th(No zero)'!L14</f>
        <v>4.0500001907348597</v>
      </c>
      <c r="G37" s="56">
        <v>3.9499998092651398</v>
      </c>
      <c r="H37" s="56">
        <v>4.0500001907348597</v>
      </c>
      <c r="I37" s="71">
        <f t="shared" si="10"/>
        <v>4.6974999999999996E-2</v>
      </c>
      <c r="J37" s="72">
        <f t="shared" si="10"/>
        <v>3.1099999999999999E-2</v>
      </c>
      <c r="K37" s="73">
        <f t="shared" si="11"/>
        <v>3.5714285714285712E-2</v>
      </c>
      <c r="L37" s="74">
        <f t="shared" si="12"/>
        <v>4</v>
      </c>
      <c r="M37" s="75">
        <f t="shared" si="13"/>
        <v>2.5503271054458036E-2</v>
      </c>
      <c r="N37" s="75">
        <f t="shared" si="7"/>
        <v>-3.2977477641658891E-2</v>
      </c>
      <c r="O37" s="75">
        <v>69</v>
      </c>
      <c r="P37" s="80">
        <v>0.30945103506958044</v>
      </c>
      <c r="Q37" s="77">
        <f t="shared" si="8"/>
        <v>3.9999306322602379</v>
      </c>
      <c r="R37" s="80">
        <v>0.32178412597656247</v>
      </c>
      <c r="S37" s="283">
        <f t="shared" si="14"/>
        <v>6.9367739762071778E-5</v>
      </c>
    </row>
    <row r="38" spans="2:19" ht="13.9">
      <c r="B38" s="103" t="str">
        <f>'Bloomberg Raw Data-5th(No zero)'!I15</f>
        <v>MRK 11/15/24 P106</v>
      </c>
      <c r="C38" s="244">
        <f t="shared" si="15"/>
        <v>45423</v>
      </c>
      <c r="D38" s="56">
        <v>101.65</v>
      </c>
      <c r="E38" s="91">
        <f>'Bloomberg Raw Data-5th(No zero)'!H15</f>
        <v>106</v>
      </c>
      <c r="F38" s="90">
        <f>'Bloomberg Raw Data-5th(No zero)'!L15</f>
        <v>4.8500003814697301</v>
      </c>
      <c r="G38" s="56">
        <v>4.8000001907348597</v>
      </c>
      <c r="H38" s="56">
        <v>4.9000005722045898</v>
      </c>
      <c r="I38" s="71">
        <f t="shared" si="10"/>
        <v>4.6974999999999996E-2</v>
      </c>
      <c r="J38" s="72">
        <f t="shared" si="10"/>
        <v>3.1099999999999999E-2</v>
      </c>
      <c r="K38" s="73">
        <f t="shared" si="11"/>
        <v>3.5714285714285712E-2</v>
      </c>
      <c r="L38" s="74">
        <f t="shared" si="12"/>
        <v>4.8500003814697248</v>
      </c>
      <c r="M38" s="75">
        <f t="shared" si="13"/>
        <v>1.6531833288646394E-2</v>
      </c>
      <c r="N38" s="75">
        <f t="shared" si="7"/>
        <v>-4.9606628042569587E-2</v>
      </c>
      <c r="O38" s="75">
        <v>11</v>
      </c>
      <c r="P38" s="80">
        <v>0.34997184155771888</v>
      </c>
      <c r="Q38" s="77">
        <f t="shared" si="8"/>
        <v>4.8499181264595279</v>
      </c>
      <c r="R38" s="80">
        <v>0.32691102783203119</v>
      </c>
      <c r="S38" s="283">
        <f t="shared" si="14"/>
        <v>8.2255010196874423E-5</v>
      </c>
    </row>
    <row r="39" spans="2:19" ht="13.9">
      <c r="B39" s="103" t="str">
        <f>'Bloomberg Raw Data-5th(No zero)'!I16</f>
        <v>MRK 11/15/24 P107</v>
      </c>
      <c r="C39" s="244">
        <f t="shared" si="15"/>
        <v>45423</v>
      </c>
      <c r="D39" s="56">
        <v>101.65</v>
      </c>
      <c r="E39" s="91">
        <f>'Bloomberg Raw Data-5th(No zero)'!H16</f>
        <v>107</v>
      </c>
      <c r="F39" s="90">
        <f>'Bloomberg Raw Data-5th(No zero)'!L16</f>
        <v>5.6999998092651403</v>
      </c>
      <c r="G39" s="56">
        <v>5.6500005722045898</v>
      </c>
      <c r="H39" s="56">
        <v>5.8000001907348597</v>
      </c>
      <c r="I39" s="71">
        <f t="shared" si="10"/>
        <v>4.6974999999999996E-2</v>
      </c>
      <c r="J39" s="72">
        <f t="shared" si="10"/>
        <v>3.1099999999999999E-2</v>
      </c>
      <c r="K39" s="73">
        <f t="shared" si="11"/>
        <v>3.5714285714285712E-2</v>
      </c>
      <c r="L39" s="74">
        <f t="shared" si="12"/>
        <v>5.7250003814697248</v>
      </c>
      <c r="M39" s="75">
        <f t="shared" si="13"/>
        <v>8.4026855674753584E-3</v>
      </c>
      <c r="N39" s="75">
        <f t="shared" si="7"/>
        <v>-6.572426386065594E-2</v>
      </c>
      <c r="O39" s="75">
        <v>6</v>
      </c>
      <c r="P39" s="80">
        <v>0.39224294726939396</v>
      </c>
      <c r="Q39" s="77">
        <f t="shared" si="8"/>
        <v>5.724907238073186</v>
      </c>
      <c r="R39" s="80">
        <v>0.36524072265625002</v>
      </c>
      <c r="S39" s="283">
        <f t="shared" si="14"/>
        <v>9.3143396538764023E-5</v>
      </c>
    </row>
    <row r="40" spans="2:19" ht="13.9">
      <c r="B40" s="103" t="str">
        <f>'Bloomberg Raw Data-5th(No zero)'!I17</f>
        <v>MRK 11/15/24 P110</v>
      </c>
      <c r="C40" s="244">
        <f t="shared" si="15"/>
        <v>45423</v>
      </c>
      <c r="D40" s="56">
        <v>101.65</v>
      </c>
      <c r="E40" s="91">
        <f>'Bloomberg Raw Data-5th(No zero)'!H17</f>
        <v>110</v>
      </c>
      <c r="F40" s="90">
        <f>'Bloomberg Raw Data-5th(No zero)'!L17</f>
        <v>8.4799995422363299</v>
      </c>
      <c r="G40" s="56">
        <v>8.5</v>
      </c>
      <c r="H40" s="56">
        <v>8.6999998092651403</v>
      </c>
      <c r="I40" s="71">
        <f t="shared" si="10"/>
        <v>4.6974999999999996E-2</v>
      </c>
      <c r="J40" s="72">
        <f t="shared" si="10"/>
        <v>3.1099999999999999E-2</v>
      </c>
      <c r="K40" s="73">
        <f t="shared" si="11"/>
        <v>3.5714285714285712E-2</v>
      </c>
      <c r="L40" s="74">
        <f t="shared" si="12"/>
        <v>8.5999999046325701</v>
      </c>
      <c r="M40" s="75">
        <f t="shared" si="13"/>
        <v>-1.1324177343037325E-2</v>
      </c>
      <c r="N40" s="75">
        <f t="shared" si="7"/>
        <v>-0.11383314674102432</v>
      </c>
      <c r="O40" s="75">
        <v>143</v>
      </c>
      <c r="P40" s="80">
        <v>0.54242648036120822</v>
      </c>
      <c r="Q40" s="77">
        <f t="shared" si="8"/>
        <v>8.5998823071196426</v>
      </c>
      <c r="R40" s="80">
        <v>0.44775942871093738</v>
      </c>
      <c r="S40" s="283">
        <f t="shared" si="14"/>
        <v>1.1759751292750309E-4</v>
      </c>
    </row>
    <row r="41" spans="2:19" ht="13.9">
      <c r="B41" s="103" t="str">
        <f>'Bloomberg Raw Data-5th(No zero)'!I18</f>
        <v>MRK 11/15/24 P114</v>
      </c>
      <c r="C41" s="244">
        <f t="shared" si="15"/>
        <v>45423</v>
      </c>
      <c r="D41" s="56">
        <v>101.65</v>
      </c>
      <c r="E41" s="91">
        <f>'Bloomberg Raw Data-5th(No zero)'!H18</f>
        <v>114</v>
      </c>
      <c r="F41" s="90">
        <f>'Bloomberg Raw Data-5th(No zero)'!L18</f>
        <v>12.829999923706</v>
      </c>
      <c r="G41" s="56">
        <v>12.3999996185303</v>
      </c>
      <c r="H41" s="56">
        <v>12.699999809265099</v>
      </c>
      <c r="I41" s="71">
        <f t="shared" si="10"/>
        <v>4.6974999999999996E-2</v>
      </c>
      <c r="J41" s="72">
        <f t="shared" si="10"/>
        <v>3.1099999999999999E-2</v>
      </c>
      <c r="K41" s="73">
        <f t="shared" si="11"/>
        <v>3.5714285714285712E-2</v>
      </c>
      <c r="L41" s="74">
        <f t="shared" si="12"/>
        <v>12.5499997138977</v>
      </c>
      <c r="M41" s="75">
        <f t="shared" si="13"/>
        <v>-3.2737437461220154E-2</v>
      </c>
      <c r="N41" s="75">
        <f t="shared" si="7"/>
        <v>-0.17259757525280234</v>
      </c>
      <c r="O41" s="75">
        <v>30</v>
      </c>
      <c r="P41" s="80">
        <v>0.74007028585550572</v>
      </c>
      <c r="Q41" s="77">
        <f t="shared" si="8"/>
        <v>12.549849929599688</v>
      </c>
      <c r="R41" s="80">
        <v>0.51221190917968751</v>
      </c>
      <c r="S41" s="283">
        <f t="shared" si="14"/>
        <v>1.4978429801182358E-4</v>
      </c>
    </row>
    <row r="42" spans="2:19" ht="13.9">
      <c r="B42" s="103" t="str">
        <f>'Bloomberg Raw Data-5th(No zero)'!I19</f>
        <v>MRK 11/15/24 P130</v>
      </c>
      <c r="C42" s="244">
        <f t="shared" si="15"/>
        <v>45423</v>
      </c>
      <c r="D42" s="56">
        <v>101.65</v>
      </c>
      <c r="E42" s="91">
        <f>'Bloomberg Raw Data-5th(No zero)'!H19</f>
        <v>130</v>
      </c>
      <c r="F42" s="90">
        <f>'Bloomberg Raw Data-5th(No zero)'!L19</f>
        <v>28.8500061035156</v>
      </c>
      <c r="G42" s="56">
        <v>27.3999938964844</v>
      </c>
      <c r="H42" s="56">
        <v>30.3999938964844</v>
      </c>
      <c r="I42" s="71">
        <f t="shared" si="10"/>
        <v>4.6974999999999996E-2</v>
      </c>
      <c r="J42" s="72">
        <f t="shared" si="10"/>
        <v>3.1099999999999999E-2</v>
      </c>
      <c r="K42" s="73">
        <f t="shared" si="11"/>
        <v>3.5714285714285712E-2</v>
      </c>
      <c r="L42" s="74">
        <f t="shared" si="12"/>
        <v>28.8999938964844</v>
      </c>
      <c r="M42" s="75">
        <f t="shared" si="13"/>
        <v>-0.10354876437327704</v>
      </c>
      <c r="N42" s="75">
        <f t="shared" si="7"/>
        <v>-0.3761399375587815</v>
      </c>
      <c r="O42" s="75">
        <v>4</v>
      </c>
      <c r="P42" s="80">
        <v>1.4424169076803668</v>
      </c>
      <c r="Q42" s="77">
        <f t="shared" si="8"/>
        <v>28.899593710847107</v>
      </c>
      <c r="R42" s="80">
        <v>1.0625046874999999</v>
      </c>
      <c r="S42" s="283">
        <f t="shared" si="14"/>
        <v>4.0018563729304901E-4</v>
      </c>
    </row>
  </sheetData>
  <mergeCells count="2">
    <mergeCell ref="B25:S27"/>
    <mergeCell ref="B4:S6"/>
  </mergeCells>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243484-3414-47ED-A49C-358C0BE3BE3B}">
  <dimension ref="B4:Z70"/>
  <sheetViews>
    <sheetView showGridLines="0" zoomScale="79" zoomScaleNormal="98" workbookViewId="0">
      <selection activeCell="G18" sqref="G18"/>
    </sheetView>
  </sheetViews>
  <sheetFormatPr defaultColWidth="8.85546875" defaultRowHeight="13.15"/>
  <cols>
    <col min="1" max="1" width="4.140625" style="277" customWidth="1"/>
    <col min="2" max="2" width="18.85546875" style="277" customWidth="1"/>
    <col min="3" max="4" width="19.42578125" style="277" bestFit="1" customWidth="1"/>
    <col min="5" max="5" width="11.85546875" style="277" customWidth="1"/>
    <col min="6" max="6" width="19.85546875" style="277" bestFit="1" customWidth="1"/>
    <col min="7" max="7" width="19.7109375" style="277" bestFit="1" customWidth="1"/>
    <col min="8" max="8" width="28.28515625" style="277" bestFit="1" customWidth="1"/>
    <col min="9" max="9" width="19.85546875" style="277" bestFit="1" customWidth="1"/>
    <col min="10" max="10" width="16.5703125" style="277" bestFit="1" customWidth="1"/>
    <col min="11" max="11" width="13.7109375" style="277" customWidth="1"/>
    <col min="12" max="12" width="24.7109375" style="277" customWidth="1"/>
    <col min="13" max="13" width="30.28515625" style="277" bestFit="1" customWidth="1"/>
    <col min="14" max="14" width="16.5703125" style="277" bestFit="1" customWidth="1"/>
    <col min="15" max="15" width="19.140625" style="277" bestFit="1" customWidth="1"/>
    <col min="16" max="16" width="23.7109375" style="277" customWidth="1"/>
    <col min="17" max="17" width="15.28515625" style="277" bestFit="1" customWidth="1"/>
    <col min="18" max="18" width="14.85546875" style="277" bestFit="1" customWidth="1"/>
    <col min="19" max="19" width="18.42578125" style="277" bestFit="1" customWidth="1"/>
    <col min="20" max="21" width="18.42578125" style="277" customWidth="1"/>
    <col min="22" max="22" width="12.140625" style="277" bestFit="1" customWidth="1"/>
    <col min="23" max="23" width="15.28515625" style="277" customWidth="1"/>
    <col min="24" max="24" width="8.85546875" style="277"/>
    <col min="25" max="25" width="30.85546875" style="277" bestFit="1" customWidth="1"/>
    <col min="26" max="26" width="26.140625" style="277" customWidth="1"/>
    <col min="27" max="16384" width="8.85546875" style="277"/>
  </cols>
  <sheetData>
    <row r="4" spans="2:26" ht="13.9" customHeight="1">
      <c r="B4" s="437" t="s">
        <v>222</v>
      </c>
      <c r="C4" s="437"/>
      <c r="D4" s="437"/>
      <c r="E4" s="437"/>
      <c r="F4" s="437"/>
      <c r="G4" s="437"/>
      <c r="H4" s="437"/>
      <c r="I4" s="437"/>
      <c r="J4" s="437"/>
      <c r="K4" s="437"/>
      <c r="L4" s="437"/>
      <c r="M4" s="437"/>
      <c r="N4" s="437"/>
      <c r="O4" s="437"/>
      <c r="P4" s="437"/>
      <c r="Q4" s="437"/>
      <c r="R4" s="437"/>
      <c r="S4" s="437"/>
      <c r="T4" s="437"/>
      <c r="U4" s="437"/>
      <c r="V4" s="437"/>
      <c r="W4" s="437"/>
    </row>
    <row r="5" spans="2:26" ht="13.9" customHeight="1">
      <c r="B5" s="437"/>
      <c r="C5" s="437"/>
      <c r="D5" s="437"/>
      <c r="E5" s="437"/>
      <c r="F5" s="437"/>
      <c r="G5" s="437"/>
      <c r="H5" s="437"/>
      <c r="I5" s="437"/>
      <c r="J5" s="437"/>
      <c r="K5" s="437"/>
      <c r="L5" s="437"/>
      <c r="M5" s="437"/>
      <c r="N5" s="437"/>
      <c r="O5" s="437"/>
      <c r="P5" s="437"/>
      <c r="Q5" s="437"/>
      <c r="R5" s="437"/>
      <c r="S5" s="437"/>
      <c r="T5" s="437"/>
      <c r="U5" s="437"/>
      <c r="V5" s="437"/>
      <c r="W5" s="437"/>
    </row>
    <row r="6" spans="2:26" ht="13.9" customHeight="1">
      <c r="B6" s="437"/>
      <c r="C6" s="437"/>
      <c r="D6" s="437"/>
      <c r="E6" s="437"/>
      <c r="F6" s="437"/>
      <c r="G6" s="437"/>
      <c r="H6" s="437"/>
      <c r="I6" s="437"/>
      <c r="J6" s="437"/>
      <c r="K6" s="437"/>
      <c r="L6" s="437"/>
      <c r="M6" s="437"/>
      <c r="N6" s="437"/>
      <c r="O6" s="437"/>
      <c r="P6" s="437"/>
      <c r="Q6" s="437"/>
      <c r="R6" s="437"/>
      <c r="S6" s="437"/>
      <c r="T6" s="437"/>
      <c r="U6" s="437"/>
      <c r="V6" s="437"/>
      <c r="W6" s="437"/>
    </row>
    <row r="7" spans="2:26" ht="55.15">
      <c r="B7" s="181" t="s">
        <v>223</v>
      </c>
      <c r="C7" s="181" t="s">
        <v>38</v>
      </c>
      <c r="D7" s="182" t="s">
        <v>33</v>
      </c>
      <c r="E7" s="182" t="s">
        <v>224</v>
      </c>
      <c r="F7" s="182" t="s">
        <v>4</v>
      </c>
      <c r="G7" s="182" t="s">
        <v>225</v>
      </c>
      <c r="H7" s="181" t="s">
        <v>6</v>
      </c>
      <c r="I7" s="181" t="s">
        <v>7</v>
      </c>
      <c r="J7" s="182" t="s">
        <v>210</v>
      </c>
      <c r="K7" s="182" t="s">
        <v>226</v>
      </c>
      <c r="L7" s="183" t="s">
        <v>11</v>
      </c>
      <c r="M7" s="181" t="s">
        <v>213</v>
      </c>
      <c r="N7" s="182" t="s">
        <v>227</v>
      </c>
      <c r="O7" s="181" t="s">
        <v>228</v>
      </c>
      <c r="P7" s="211" t="s">
        <v>215</v>
      </c>
      <c r="Q7" s="184" t="s">
        <v>229</v>
      </c>
      <c r="R7" s="184" t="s">
        <v>230</v>
      </c>
      <c r="S7" s="215" t="s">
        <v>231</v>
      </c>
      <c r="T7" s="215" t="s">
        <v>232</v>
      </c>
      <c r="U7" s="215" t="s">
        <v>233</v>
      </c>
      <c r="V7" s="215" t="s">
        <v>234</v>
      </c>
      <c r="W7" s="216" t="s">
        <v>235</v>
      </c>
      <c r="Y7" s="198"/>
      <c r="Z7" s="278" t="s">
        <v>236</v>
      </c>
    </row>
    <row r="8" spans="2:26" ht="13.9">
      <c r="B8" s="248">
        <f>'Bloomberg Raw Data- all volumes'!A87</f>
        <v>45601</v>
      </c>
      <c r="C8" s="58" t="str">
        <f>'Bloomberg Raw Data- all volumes'!C87</f>
        <v>MRK 11/15/24 C102</v>
      </c>
      <c r="D8" s="56">
        <f>'Bloomberg Raw Data- all volumes'!I87</f>
        <v>101.65</v>
      </c>
      <c r="E8" s="75">
        <f>LN(D8/D61)</f>
        <v>-2.161950527619365E-3</v>
      </c>
      <c r="F8" s="250">
        <f>'Bloomberg Raw Data- all volumes'!B87</f>
        <v>102</v>
      </c>
      <c r="G8" s="56">
        <f>'Bloomberg Raw Data- all volumes'!F87</f>
        <v>1.6900005340576201</v>
      </c>
      <c r="H8" s="56">
        <f>'Bloomberg Raw Data- all volumes'!D87</f>
        <v>1.5999994277954099</v>
      </c>
      <c r="I8" s="56">
        <f>'Bloomberg Raw Data- all volumes'!E87</f>
        <v>1.65999984741211</v>
      </c>
      <c r="J8" s="80">
        <f>'Q1-(Without Zero Volume)'!J4</f>
        <v>4.6974999999999996E-2</v>
      </c>
      <c r="K8" s="217">
        <f>8/252</f>
        <v>3.1746031746031744E-2</v>
      </c>
      <c r="L8" s="74">
        <f t="shared" ref="L8:L16" si="0">(H8+I8)/2</f>
        <v>1.62999963760376</v>
      </c>
      <c r="M8" s="75">
        <f>(LN(D8/F8)+(J8+($P$8^2)/2)*K8)/($P$8*SQRT(K8))</f>
        <v>-2.8597847190932352E-2</v>
      </c>
      <c r="N8" s="214">
        <v>10</v>
      </c>
      <c r="O8" s="214">
        <f>N8*100</f>
        <v>1000</v>
      </c>
      <c r="P8" s="76">
        <f>'Q2. Implied Volatality - Final'!P13</f>
        <v>0.22467036082365072</v>
      </c>
      <c r="Q8" s="279">
        <f>_xlfn.NORM.DIST(M8,0,1,TRUE)</f>
        <v>0.48859266453817735</v>
      </c>
      <c r="R8" s="279">
        <f t="shared" ref="R8:R16" si="1">Q8*O8</f>
        <v>488.59266453817736</v>
      </c>
      <c r="S8" s="279">
        <f>R8</f>
        <v>488.59266453817736</v>
      </c>
      <c r="T8" s="279">
        <f>(S8*D8)/1000</f>
        <v>49.665444350305734</v>
      </c>
      <c r="U8" s="279">
        <f>T8</f>
        <v>49.665444350305734</v>
      </c>
      <c r="V8" s="280">
        <f t="shared" ref="V8:V16" si="2">U8*J8*(1/252)</f>
        <v>9.2580724141095704E-3</v>
      </c>
      <c r="W8" s="281"/>
      <c r="Y8" s="198" t="s">
        <v>233</v>
      </c>
      <c r="Z8" s="198">
        <f>U16</f>
        <v>1.7198321501117637</v>
      </c>
    </row>
    <row r="9" spans="2:26" ht="13.9">
      <c r="B9" s="248">
        <f>'Bloomberg Raw Data- all volumes'!A88</f>
        <v>45602</v>
      </c>
      <c r="C9" s="58" t="str">
        <f>'Bloomberg Raw Data- all volumes'!C88</f>
        <v>MRK 11/15/24 C102</v>
      </c>
      <c r="D9" s="56">
        <f>'Bloomberg Raw Data- all volumes'!I88</f>
        <v>100.73</v>
      </c>
      <c r="E9" s="75">
        <f>LN(D9/D62)</f>
        <v>-9.0918701197659074E-3</v>
      </c>
      <c r="F9" s="250">
        <f>'Bloomberg Raw Data- all volumes'!B88</f>
        <v>102</v>
      </c>
      <c r="G9" s="56">
        <f>'Bloomberg Raw Data- all volumes'!F88</f>
        <v>0.87000000476837203</v>
      </c>
      <c r="H9" s="56">
        <f>'Bloomberg Raw Data- all volumes'!D88</f>
        <v>0.730000019073486</v>
      </c>
      <c r="I9" s="56">
        <f>'Bloomberg Raw Data- all volumes'!E88</f>
        <v>0.91000002622604403</v>
      </c>
      <c r="J9" s="80">
        <f>'Q1-(Without Zero Volume)'!J5</f>
        <v>4.6974999999999996E-2</v>
      </c>
      <c r="K9" s="72">
        <f>7/252</f>
        <v>2.7777777777777776E-2</v>
      </c>
      <c r="L9" s="74">
        <f t="shared" si="0"/>
        <v>0.82000002264976501</v>
      </c>
      <c r="M9" s="75">
        <f>(LN(D9/F9)+(J9+($P$8^2)/2)*K9)/($P$8*SQRT(K9))</f>
        <v>-0.28103081997063434</v>
      </c>
      <c r="N9" s="214">
        <v>10</v>
      </c>
      <c r="O9" s="214">
        <f t="shared" ref="O9:O16" si="3">N9*100</f>
        <v>1000</v>
      </c>
      <c r="P9" s="76">
        <f>P8</f>
        <v>0.22467036082365072</v>
      </c>
      <c r="Q9" s="279">
        <f t="shared" ref="Q9:Q15" si="4">_xlfn.NORM.DIST(M9,0,1,TRUE)</f>
        <v>0.38934338054817397</v>
      </c>
      <c r="R9" s="279">
        <f>Q9*O9</f>
        <v>389.34338054817397</v>
      </c>
      <c r="S9" s="279">
        <f>R9-R8</f>
        <v>-99.249283990003391</v>
      </c>
      <c r="T9" s="279">
        <f t="shared" ref="T9:T16" si="5">(S9*D9)/1000</f>
        <v>-9.9973803763130427</v>
      </c>
      <c r="U9" s="279">
        <f>T9+V8+U8</f>
        <v>39.6773220464068</v>
      </c>
      <c r="V9" s="280">
        <f t="shared" si="2"/>
        <v>7.3961992187696795E-3</v>
      </c>
      <c r="W9" s="281"/>
      <c r="Y9" s="198" t="s">
        <v>235</v>
      </c>
      <c r="Z9" s="254">
        <f>W16</f>
        <v>0</v>
      </c>
    </row>
    <row r="10" spans="2:26" ht="13.9">
      <c r="B10" s="248">
        <f>'Bloomberg Raw Data- all volumes'!A89</f>
        <v>45603</v>
      </c>
      <c r="C10" s="58" t="str">
        <f>'Bloomberg Raw Data- all volumes'!C89</f>
        <v>MRK 11/15/24 C102</v>
      </c>
      <c r="D10" s="56">
        <f>'Bloomberg Raw Data- all volumes'!I89</f>
        <v>101.17</v>
      </c>
      <c r="E10" s="75">
        <f>LN(D10/D63)</f>
        <v>4.3586002632092762E-3</v>
      </c>
      <c r="F10" s="250">
        <f>'Bloomberg Raw Data- all volumes'!B89</f>
        <v>102</v>
      </c>
      <c r="G10" s="56">
        <f>'Bloomberg Raw Data- all volumes'!F89</f>
        <v>0.93000000715255704</v>
      </c>
      <c r="H10" s="56">
        <f>'Bloomberg Raw Data- all volumes'!D89</f>
        <v>0.87999999523162797</v>
      </c>
      <c r="I10" s="56">
        <f>'Bloomberg Raw Data- all volumes'!E89</f>
        <v>1.5</v>
      </c>
      <c r="J10" s="80">
        <f>'Q1-(Without Zero Volume)'!J6</f>
        <v>4.6974999999999996E-2</v>
      </c>
      <c r="K10" s="72">
        <f>6/252</f>
        <v>2.3809523809523808E-2</v>
      </c>
      <c r="L10" s="74">
        <f t="shared" si="0"/>
        <v>1.189999997615814</v>
      </c>
      <c r="M10" s="75">
        <f t="shared" ref="M10:M15" si="6">(LN(D10/F10)+(J10+($P$8^2)/2)*K10)/($P$8*SQRT(K10))</f>
        <v>-0.18608775776402908</v>
      </c>
      <c r="N10" s="214">
        <v>10</v>
      </c>
      <c r="O10" s="214">
        <f t="shared" si="3"/>
        <v>1000</v>
      </c>
      <c r="P10" s="76">
        <f t="shared" ref="P10:P16" si="7">P9</f>
        <v>0.22467036082365072</v>
      </c>
      <c r="Q10" s="279">
        <f t="shared" si="4"/>
        <v>0.42618797106268191</v>
      </c>
      <c r="R10" s="279">
        <f t="shared" si="1"/>
        <v>426.18797106268192</v>
      </c>
      <c r="S10" s="279">
        <f>R10-R9</f>
        <v>36.844590514507956</v>
      </c>
      <c r="T10" s="279">
        <f t="shared" si="5"/>
        <v>3.72756722235277</v>
      </c>
      <c r="U10" s="279">
        <f t="shared" ref="U10:U16" si="8">T10+V9+U9</f>
        <v>43.412285467978343</v>
      </c>
      <c r="V10" s="280">
        <f t="shared" si="2"/>
        <v>8.092429007374136E-3</v>
      </c>
      <c r="W10" s="281"/>
      <c r="Y10" s="198" t="s">
        <v>237</v>
      </c>
      <c r="Z10" s="254">
        <f>(Z9*J8)/100</f>
        <v>0</v>
      </c>
    </row>
    <row r="11" spans="2:26" ht="13.9">
      <c r="B11" s="248">
        <f>'Bloomberg Raw Data- all volumes'!A90</f>
        <v>45604</v>
      </c>
      <c r="C11" s="58" t="str">
        <f>'Bloomberg Raw Data- all volumes'!C90</f>
        <v>MRK 11/15/24 C102</v>
      </c>
      <c r="D11" s="56">
        <f>'Bloomberg Raw Data- all volumes'!I90</f>
        <v>102.92</v>
      </c>
      <c r="E11" s="75">
        <f>LN(D11/D64)</f>
        <v>1.7149717195744381E-2</v>
      </c>
      <c r="F11" s="250">
        <f>'Bloomberg Raw Data- all volumes'!B90</f>
        <v>102</v>
      </c>
      <c r="G11" s="56">
        <f>'Bloomberg Raw Data- all volumes'!F90</f>
        <v>1.69999980926514</v>
      </c>
      <c r="H11" s="56">
        <f>'Bloomberg Raw Data- all volumes'!D90</f>
        <v>1.57999992370605</v>
      </c>
      <c r="I11" s="56">
        <f>'Bloomberg Raw Data- all volumes'!E90</f>
        <v>2.1400003433227499</v>
      </c>
      <c r="J11" s="80">
        <f>'Q1-(Without Zero Volume)'!J7</f>
        <v>4.6974999999999996E-2</v>
      </c>
      <c r="K11" s="72">
        <f>5/252</f>
        <v>1.984126984126984E-2</v>
      </c>
      <c r="L11" s="74">
        <f t="shared" si="0"/>
        <v>1.8600001335143999</v>
      </c>
      <c r="M11" s="75">
        <f t="shared" si="6"/>
        <v>0.32900521772165109</v>
      </c>
      <c r="N11" s="214">
        <v>10</v>
      </c>
      <c r="O11" s="214">
        <f t="shared" si="3"/>
        <v>1000</v>
      </c>
      <c r="P11" s="76">
        <f t="shared" si="7"/>
        <v>0.22467036082365072</v>
      </c>
      <c r="Q11" s="279">
        <f t="shared" si="4"/>
        <v>0.62892412788984975</v>
      </c>
      <c r="R11" s="279">
        <f t="shared" si="1"/>
        <v>628.92412788984973</v>
      </c>
      <c r="S11" s="279">
        <f t="shared" ref="S11:S15" si="9">R11-R10</f>
        <v>202.7361568271678</v>
      </c>
      <c r="T11" s="279">
        <f t="shared" si="5"/>
        <v>20.86560526065211</v>
      </c>
      <c r="U11" s="279">
        <f t="shared" si="8"/>
        <v>64.28598315763783</v>
      </c>
      <c r="V11" s="280">
        <f t="shared" si="2"/>
        <v>1.198346848742078E-2</v>
      </c>
      <c r="W11" s="281"/>
      <c r="Y11" s="198" t="s">
        <v>238</v>
      </c>
      <c r="Z11" s="198">
        <f>(R16*D16)/1000</f>
        <v>0</v>
      </c>
    </row>
    <row r="12" spans="2:26" ht="13.9">
      <c r="B12" s="248">
        <f>'Bloomberg Raw Data- all volumes'!A93</f>
        <v>45607</v>
      </c>
      <c r="C12" s="58" t="str">
        <f>'Bloomberg Raw Data- all volumes'!C93</f>
        <v>MRK 11/15/24 C102</v>
      </c>
      <c r="D12" s="56">
        <f>'Bloomberg Raw Data- all volumes'!I93</f>
        <v>100.73</v>
      </c>
      <c r="E12" s="75">
        <f>LN(D12/D67)</f>
        <v>2.1575268677358095E-2</v>
      </c>
      <c r="F12" s="250">
        <f>'Bloomberg Raw Data- all volumes'!B93</f>
        <v>102</v>
      </c>
      <c r="G12" s="56">
        <f>'Bloomberg Raw Data- all volumes'!F93</f>
        <v>0.41000002622604398</v>
      </c>
      <c r="H12" s="56">
        <f>'Bloomberg Raw Data- all volumes'!D93</f>
        <v>0.34000003337860102</v>
      </c>
      <c r="I12" s="56">
        <f>'Bloomberg Raw Data- all volumes'!E93</f>
        <v>0.56999999284744296</v>
      </c>
      <c r="J12" s="80">
        <f>'Q1-(Without Zero Volume)'!J10</f>
        <v>4.6974999999999996E-2</v>
      </c>
      <c r="K12" s="72">
        <f>4/252</f>
        <v>1.5873015873015872E-2</v>
      </c>
      <c r="L12" s="74">
        <f t="shared" si="0"/>
        <v>0.45500001311302196</v>
      </c>
      <c r="M12" s="75">
        <f t="shared" si="6"/>
        <v>-0.40214009734770217</v>
      </c>
      <c r="N12" s="214">
        <v>10</v>
      </c>
      <c r="O12" s="214">
        <f t="shared" si="3"/>
        <v>1000</v>
      </c>
      <c r="P12" s="76">
        <f t="shared" si="7"/>
        <v>0.22467036082365072</v>
      </c>
      <c r="Q12" s="279">
        <f t="shared" si="4"/>
        <v>0.34379046228083759</v>
      </c>
      <c r="R12" s="279">
        <f t="shared" si="1"/>
        <v>343.79046228083757</v>
      </c>
      <c r="S12" s="279">
        <f t="shared" si="9"/>
        <v>-285.13366560901216</v>
      </c>
      <c r="T12" s="279">
        <f t="shared" si="5"/>
        <v>-28.721514136795793</v>
      </c>
      <c r="U12" s="279">
        <f t="shared" si="8"/>
        <v>35.576452489329455</v>
      </c>
      <c r="V12" s="280">
        <f t="shared" si="2"/>
        <v>6.6317613320882969E-3</v>
      </c>
      <c r="W12" s="281"/>
      <c r="Y12" s="198" t="s">
        <v>239</v>
      </c>
      <c r="Z12" s="254">
        <f>'Bloomberg Raw Data-5th(No zero)'!E11</f>
        <v>1.6900005340576201</v>
      </c>
    </row>
    <row r="13" spans="2:26" ht="13.9">
      <c r="B13" s="248">
        <f>'Bloomberg Raw Data- all volumes'!A94</f>
        <v>45608</v>
      </c>
      <c r="C13" s="58" t="str">
        <f>'Bloomberg Raw Data- all volumes'!C94</f>
        <v>MRK 11/15/24 C102</v>
      </c>
      <c r="D13" s="56">
        <f>'Bloomberg Raw Data- all volumes'!I94</f>
        <v>98.58</v>
      </c>
      <c r="E13" s="75">
        <f>LN(D13/D68)</f>
        <v>8.1185309918848237E-4</v>
      </c>
      <c r="F13" s="250">
        <f>'Bloomberg Raw Data- all volumes'!B94</f>
        <v>102</v>
      </c>
      <c r="G13" s="56">
        <f>'Bloomberg Raw Data- all volumes'!F94</f>
        <v>7.9999983310699505E-2</v>
      </c>
      <c r="H13" s="56">
        <f>'Bloomberg Raw Data- all volumes'!D94</f>
        <v>7.9999983310699505E-2</v>
      </c>
      <c r="I13" s="56">
        <f>'Bloomberg Raw Data- all volumes'!E94</f>
        <v>0.110000014305115</v>
      </c>
      <c r="J13" s="80">
        <f>'Q1-(Without Zero Volume)'!J11</f>
        <v>4.6974999999999996E-2</v>
      </c>
      <c r="K13" s="72">
        <f>3/252</f>
        <v>1.1904761904761904E-2</v>
      </c>
      <c r="L13" s="74">
        <f t="shared" si="0"/>
        <v>9.4999998807907243E-2</v>
      </c>
      <c r="M13" s="75">
        <f t="shared" si="6"/>
        <v>-1.3561778762197945</v>
      </c>
      <c r="N13" s="214">
        <v>10</v>
      </c>
      <c r="O13" s="214">
        <f t="shared" si="3"/>
        <v>1000</v>
      </c>
      <c r="P13" s="76">
        <f t="shared" si="7"/>
        <v>0.22467036082365072</v>
      </c>
      <c r="Q13" s="279">
        <f t="shared" si="4"/>
        <v>8.7521289714021913E-2</v>
      </c>
      <c r="R13" s="279">
        <f t="shared" si="1"/>
        <v>87.521289714021918</v>
      </c>
      <c r="S13" s="279">
        <f t="shared" si="9"/>
        <v>-256.26917256681566</v>
      </c>
      <c r="T13" s="279">
        <f t="shared" si="5"/>
        <v>-25.263015031636684</v>
      </c>
      <c r="U13" s="279">
        <f t="shared" si="8"/>
        <v>10.320069219024859</v>
      </c>
      <c r="V13" s="280">
        <f t="shared" si="2"/>
        <v>1.9237509982686215E-3</v>
      </c>
      <c r="W13" s="281"/>
      <c r="Y13" s="278" t="s">
        <v>240</v>
      </c>
      <c r="Z13" s="282">
        <f>Z12-Z8</f>
        <v>-2.9831616054143639E-2</v>
      </c>
    </row>
    <row r="14" spans="2:26" ht="13.9">
      <c r="B14" s="248">
        <f>'Bloomberg Raw Data- all volumes'!A95</f>
        <v>45609</v>
      </c>
      <c r="C14" s="58" t="str">
        <f>'Bloomberg Raw Data- all volumes'!C95</f>
        <v>MRK 11/15/24 C102</v>
      </c>
      <c r="D14" s="56">
        <f>'Bloomberg Raw Data- all volumes'!I95</f>
        <v>98.5</v>
      </c>
      <c r="E14" s="75">
        <f>LN(D14/D69)</f>
        <v>1.4223308300512997E-3</v>
      </c>
      <c r="F14" s="250">
        <f>'Bloomberg Raw Data- all volumes'!B95</f>
        <v>102</v>
      </c>
      <c r="G14" s="56">
        <f>'Bloomberg Raw Data- all volumes'!F95</f>
        <v>5.0000000745058101E-2</v>
      </c>
      <c r="H14" s="56">
        <f>'Bloomberg Raw Data- all volumes'!D95</f>
        <v>3.0000001192092899E-2</v>
      </c>
      <c r="I14" s="56">
        <f>'Bloomberg Raw Data- all volumes'!E95</f>
        <v>5.0000000745058101E-2</v>
      </c>
      <c r="J14" s="80">
        <f>'Q1-(Without Zero Volume)'!J12</f>
        <v>4.6974999999999996E-2</v>
      </c>
      <c r="K14" s="72">
        <f>2/252</f>
        <v>7.9365079365079361E-3</v>
      </c>
      <c r="L14" s="74">
        <f t="shared" si="0"/>
        <v>4.0000000968575498E-2</v>
      </c>
      <c r="M14" s="75">
        <f t="shared" si="6"/>
        <v>-1.7158508253957734</v>
      </c>
      <c r="N14" s="214">
        <v>10</v>
      </c>
      <c r="O14" s="214">
        <f t="shared" si="3"/>
        <v>1000</v>
      </c>
      <c r="P14" s="76">
        <f t="shared" si="7"/>
        <v>0.22467036082365072</v>
      </c>
      <c r="Q14" s="279">
        <f t="shared" si="4"/>
        <v>4.3094674478894882E-2</v>
      </c>
      <c r="R14" s="279">
        <f t="shared" si="1"/>
        <v>43.094674478894881</v>
      </c>
      <c r="S14" s="279">
        <f t="shared" si="9"/>
        <v>-44.426615235127038</v>
      </c>
      <c r="T14" s="279">
        <f t="shared" si="5"/>
        <v>-4.376021600660013</v>
      </c>
      <c r="U14" s="279">
        <f t="shared" si="8"/>
        <v>5.9459713693631144</v>
      </c>
      <c r="V14" s="280">
        <f t="shared" si="2"/>
        <v>1.1083809725231438E-3</v>
      </c>
      <c r="W14" s="281"/>
    </row>
    <row r="15" spans="2:26" ht="13.9">
      <c r="B15" s="248">
        <f>'Bloomberg Raw Data- all volumes'!A96</f>
        <v>45610</v>
      </c>
      <c r="C15" s="58" t="str">
        <f>'Bloomberg Raw Data- all volumes'!C96</f>
        <v>MRK 11/15/24 C102</v>
      </c>
      <c r="D15" s="56">
        <f>'Bloomberg Raw Data- all volumes'!I96</f>
        <v>98.36</v>
      </c>
      <c r="E15" s="75">
        <f>LN(D15/D70)</f>
        <v>2.1062061775218938E-2</v>
      </c>
      <c r="F15" s="250">
        <f>'Bloomberg Raw Data- all volumes'!B96</f>
        <v>102</v>
      </c>
      <c r="G15" s="56">
        <f>'Bloomberg Raw Data- all volumes'!F96</f>
        <v>1.9999999552965199E-2</v>
      </c>
      <c r="H15" s="56">
        <f>'Bloomberg Raw Data- all volumes'!D96</f>
        <v>9.9999997764825804E-3</v>
      </c>
      <c r="I15" s="56">
        <f>'Bloomberg Raw Data- all volumes'!E96</f>
        <v>3.9999999105930301E-2</v>
      </c>
      <c r="J15" s="80">
        <f>'Q1-(Without Zero Volume)'!J13</f>
        <v>4.6974999999999996E-2</v>
      </c>
      <c r="K15" s="72">
        <f>1/252</f>
        <v>3.968253968253968E-3</v>
      </c>
      <c r="L15" s="74">
        <f t="shared" si="0"/>
        <v>2.4999999441206441E-2</v>
      </c>
      <c r="M15" s="75">
        <f t="shared" si="6"/>
        <v>-2.5473244857296247</v>
      </c>
      <c r="N15" s="214">
        <v>10</v>
      </c>
      <c r="O15" s="214">
        <f t="shared" si="3"/>
        <v>1000</v>
      </c>
      <c r="P15" s="76">
        <f t="shared" si="7"/>
        <v>0.22467036082365072</v>
      </c>
      <c r="Q15" s="279">
        <f t="shared" si="4"/>
        <v>5.4276221795568945E-3</v>
      </c>
      <c r="R15" s="279">
        <f t="shared" si="1"/>
        <v>5.4276221795568942</v>
      </c>
      <c r="S15" s="279">
        <f t="shared" si="9"/>
        <v>-37.667052299337989</v>
      </c>
      <c r="T15" s="279">
        <f t="shared" si="5"/>
        <v>-3.7049312641628842</v>
      </c>
      <c r="U15" s="279">
        <f t="shared" si="8"/>
        <v>2.2421484861727534</v>
      </c>
      <c r="V15" s="280">
        <f t="shared" si="2"/>
        <v>4.1795605213478204E-4</v>
      </c>
      <c r="W15" s="279">
        <f>MAX(D15-F15,0)</f>
        <v>0</v>
      </c>
    </row>
    <row r="16" spans="2:26" ht="13.9">
      <c r="B16" s="248">
        <f>'Bloomberg Raw Data- all volumes'!A97</f>
        <v>45611</v>
      </c>
      <c r="C16" s="58" t="str">
        <f>'Bloomberg Raw Data- all volumes'!C97</f>
        <v>MRK 11/15/24 C102</v>
      </c>
      <c r="D16" s="56">
        <f>'Bloomberg Raw Data- all volumes'!I97</f>
        <v>96.31</v>
      </c>
      <c r="E16" s="75">
        <v>0</v>
      </c>
      <c r="F16" s="250">
        <f>'Bloomberg Raw Data- all volumes'!B97</f>
        <v>102</v>
      </c>
      <c r="G16" s="56">
        <f>'Bloomberg Raw Data- all volumes'!F97</f>
        <v>1.00000016391277E-2</v>
      </c>
      <c r="H16" s="56">
        <f>'Bloomberg Raw Data- all volumes'!D97</f>
        <v>0</v>
      </c>
      <c r="I16" s="56">
        <f>'Bloomberg Raw Data- all volumes'!E97</f>
        <v>1.00000016391277E-2</v>
      </c>
      <c r="J16" s="80">
        <f>'Q1-(Without Zero Volume)'!J14</f>
        <v>4.6974999999999996E-2</v>
      </c>
      <c r="K16" s="72">
        <f>0/252</f>
        <v>0</v>
      </c>
      <c r="L16" s="74">
        <f t="shared" si="0"/>
        <v>5.00000081956385E-3</v>
      </c>
      <c r="M16" s="75">
        <v>0</v>
      </c>
      <c r="N16" s="214">
        <v>10</v>
      </c>
      <c r="O16" s="214">
        <f t="shared" si="3"/>
        <v>1000</v>
      </c>
      <c r="P16" s="76">
        <f t="shared" si="7"/>
        <v>0.22467036082365072</v>
      </c>
      <c r="Q16" s="279"/>
      <c r="R16" s="279">
        <f t="shared" si="1"/>
        <v>0</v>
      </c>
      <c r="S16" s="279">
        <f>R16-R15</f>
        <v>-5.4276221795568942</v>
      </c>
      <c r="T16" s="279">
        <f t="shared" si="5"/>
        <v>-0.5227342921131245</v>
      </c>
      <c r="U16" s="279">
        <f t="shared" si="8"/>
        <v>1.7198321501117637</v>
      </c>
      <c r="V16" s="280">
        <f t="shared" si="2"/>
        <v>3.2059172718849243E-4</v>
      </c>
      <c r="W16" s="279">
        <f>MAX(D16-F16,0)</f>
        <v>0</v>
      </c>
    </row>
    <row r="20" spans="2:26" ht="13.9" customHeight="1">
      <c r="B20" s="437" t="s">
        <v>241</v>
      </c>
      <c r="C20" s="437"/>
      <c r="D20" s="437"/>
      <c r="E20" s="437"/>
      <c r="F20" s="437"/>
      <c r="G20" s="437"/>
      <c r="H20" s="437"/>
      <c r="I20" s="437"/>
      <c r="J20" s="437"/>
      <c r="K20" s="437"/>
      <c r="L20" s="437"/>
      <c r="M20" s="437"/>
      <c r="N20" s="437"/>
      <c r="O20" s="437"/>
      <c r="P20" s="437"/>
      <c r="Q20" s="437"/>
      <c r="R20" s="437"/>
      <c r="S20" s="437"/>
      <c r="T20" s="437"/>
      <c r="U20" s="437"/>
      <c r="V20" s="437"/>
      <c r="W20" s="437"/>
    </row>
    <row r="21" spans="2:26" ht="13.9" customHeight="1">
      <c r="B21" s="437"/>
      <c r="C21" s="437"/>
      <c r="D21" s="437"/>
      <c r="E21" s="437"/>
      <c r="F21" s="437"/>
      <c r="G21" s="437"/>
      <c r="H21" s="437"/>
      <c r="I21" s="437"/>
      <c r="J21" s="437"/>
      <c r="K21" s="437"/>
      <c r="L21" s="437"/>
      <c r="M21" s="437"/>
      <c r="N21" s="437"/>
      <c r="O21" s="437"/>
      <c r="P21" s="437"/>
      <c r="Q21" s="437"/>
      <c r="R21" s="437"/>
      <c r="S21" s="437"/>
      <c r="T21" s="437"/>
      <c r="U21" s="437"/>
      <c r="V21" s="437"/>
      <c r="W21" s="437"/>
    </row>
    <row r="22" spans="2:26" ht="13.9" customHeight="1">
      <c r="B22" s="437"/>
      <c r="C22" s="437"/>
      <c r="D22" s="437"/>
      <c r="E22" s="437"/>
      <c r="F22" s="437"/>
      <c r="G22" s="437"/>
      <c r="H22" s="437"/>
      <c r="I22" s="437"/>
      <c r="J22" s="437"/>
      <c r="K22" s="437"/>
      <c r="L22" s="437"/>
      <c r="M22" s="437"/>
      <c r="N22" s="437"/>
      <c r="O22" s="437"/>
      <c r="P22" s="437"/>
      <c r="Q22" s="437"/>
      <c r="R22" s="437"/>
      <c r="S22" s="437"/>
      <c r="T22" s="437"/>
      <c r="U22" s="437"/>
      <c r="V22" s="437"/>
      <c r="W22" s="437"/>
    </row>
    <row r="23" spans="2:26" ht="55.15">
      <c r="B23" s="181" t="s">
        <v>223</v>
      </c>
      <c r="C23" s="181" t="s">
        <v>38</v>
      </c>
      <c r="D23" s="182" t="s">
        <v>33</v>
      </c>
      <c r="E23" s="182" t="s">
        <v>224</v>
      </c>
      <c r="F23" s="182" t="s">
        <v>4</v>
      </c>
      <c r="G23" s="182" t="s">
        <v>225</v>
      </c>
      <c r="H23" s="181" t="s">
        <v>6</v>
      </c>
      <c r="I23" s="181" t="s">
        <v>7</v>
      </c>
      <c r="J23" s="182" t="s">
        <v>210</v>
      </c>
      <c r="K23" s="182" t="s">
        <v>226</v>
      </c>
      <c r="L23" s="183" t="s">
        <v>11</v>
      </c>
      <c r="M23" s="181" t="s">
        <v>213</v>
      </c>
      <c r="N23" s="182" t="s">
        <v>227</v>
      </c>
      <c r="O23" s="181" t="s">
        <v>228</v>
      </c>
      <c r="P23" s="211" t="s">
        <v>242</v>
      </c>
      <c r="Q23" s="184" t="s">
        <v>229</v>
      </c>
      <c r="R23" s="184" t="s">
        <v>230</v>
      </c>
      <c r="S23" s="215" t="s">
        <v>231</v>
      </c>
      <c r="T23" s="215" t="s">
        <v>232</v>
      </c>
      <c r="U23" s="215" t="s">
        <v>233</v>
      </c>
      <c r="V23" s="215" t="s">
        <v>234</v>
      </c>
      <c r="W23" s="216" t="s">
        <v>235</v>
      </c>
    </row>
    <row r="24" spans="2:26" ht="13.9">
      <c r="B24" s="249">
        <f t="shared" ref="B24:K32" si="10">B8</f>
        <v>45601</v>
      </c>
      <c r="C24" s="59" t="str">
        <f t="shared" si="10"/>
        <v>MRK 11/15/24 C102</v>
      </c>
      <c r="D24" s="90">
        <f t="shared" si="10"/>
        <v>101.65</v>
      </c>
      <c r="E24" s="96">
        <f t="shared" si="10"/>
        <v>-2.161950527619365E-3</v>
      </c>
      <c r="F24" s="251">
        <f t="shared" si="10"/>
        <v>102</v>
      </c>
      <c r="G24" s="90">
        <f t="shared" si="10"/>
        <v>1.6900005340576201</v>
      </c>
      <c r="H24" s="90">
        <f t="shared" si="10"/>
        <v>1.5999994277954099</v>
      </c>
      <c r="I24" s="90">
        <f t="shared" si="10"/>
        <v>1.65999984741211</v>
      </c>
      <c r="J24" s="97">
        <f>J8</f>
        <v>4.6974999999999996E-2</v>
      </c>
      <c r="K24" s="93">
        <f t="shared" si="10"/>
        <v>3.1746031746031744E-2</v>
      </c>
      <c r="L24" s="95">
        <f>(H24+I24)/2</f>
        <v>1.62999963760376</v>
      </c>
      <c r="M24" s="56">
        <f>(LN(D24/F24)+(J24+(P24^2)/2)*K24)/(P24*SQRT(K24))</f>
        <v>-5.1337466788141904E-2</v>
      </c>
      <c r="N24" s="214">
        <f>N8</f>
        <v>10</v>
      </c>
      <c r="O24" s="218">
        <f>O8</f>
        <v>1000</v>
      </c>
      <c r="P24" s="97">
        <f>'Historical Prices'!F24</f>
        <v>0.16531992970283718</v>
      </c>
      <c r="Q24" s="279">
        <f t="shared" ref="Q24:Q31" si="11">_xlfn.NORM.S.DIST(M24,TRUE)</f>
        <v>0.47952830663664703</v>
      </c>
      <c r="R24" s="279">
        <f t="shared" ref="R24:R32" si="12">Q24*O24</f>
        <v>479.52830663664702</v>
      </c>
      <c r="S24" s="279">
        <f>R24</f>
        <v>479.52830663664702</v>
      </c>
      <c r="T24" s="279">
        <f t="shared" ref="T24:T32" si="13">(S24*D24)/1000</f>
        <v>48.744052369615176</v>
      </c>
      <c r="U24" s="279">
        <f>T24</f>
        <v>48.744052369615176</v>
      </c>
      <c r="V24" s="279">
        <f t="shared" ref="V24:V32" si="14">U24*J24*(1/252)</f>
        <v>9.0863169050106052E-3</v>
      </c>
      <c r="W24" s="281"/>
      <c r="Y24" s="198"/>
      <c r="Z24" s="278" t="s">
        <v>236</v>
      </c>
    </row>
    <row r="25" spans="2:26" ht="13.9">
      <c r="B25" s="249">
        <f t="shared" si="10"/>
        <v>45602</v>
      </c>
      <c r="C25" s="59" t="str">
        <f t="shared" si="10"/>
        <v>MRK 11/15/24 C102</v>
      </c>
      <c r="D25" s="90">
        <f t="shared" si="10"/>
        <v>100.73</v>
      </c>
      <c r="E25" s="96">
        <f t="shared" si="10"/>
        <v>-9.0918701197659074E-3</v>
      </c>
      <c r="F25" s="251">
        <f t="shared" si="10"/>
        <v>102</v>
      </c>
      <c r="G25" s="90">
        <f t="shared" si="10"/>
        <v>0.87000000476837203</v>
      </c>
      <c r="H25" s="90">
        <f t="shared" si="10"/>
        <v>0.730000019073486</v>
      </c>
      <c r="I25" s="90">
        <f t="shared" si="10"/>
        <v>0.91000002622604403</v>
      </c>
      <c r="J25" s="97">
        <f t="shared" si="10"/>
        <v>4.6974999999999996E-2</v>
      </c>
      <c r="K25" s="93">
        <f t="shared" si="10"/>
        <v>2.7777777777777776E-2</v>
      </c>
      <c r="L25" s="74">
        <f t="shared" ref="L25:L32" si="15">(H25+I25)/2</f>
        <v>0.82000002264976501</v>
      </c>
      <c r="M25" s="56">
        <f t="shared" ref="M25:M31" si="16">(LN(D25/F25)+(J25+(P25^2)/2)*K25)/(P25*SQRT(K25))</f>
        <v>-0.40331698201115135</v>
      </c>
      <c r="N25" s="214">
        <f t="shared" ref="N25:O32" si="17">N9</f>
        <v>10</v>
      </c>
      <c r="O25" s="218">
        <f t="shared" si="17"/>
        <v>1000</v>
      </c>
      <c r="P25" s="97">
        <f>'Historical Prices'!F25</f>
        <v>0.16158478947263788</v>
      </c>
      <c r="Q25" s="279">
        <f t="shared" si="11"/>
        <v>0.3433575252073619</v>
      </c>
      <c r="R25" s="279">
        <f t="shared" si="12"/>
        <v>343.3575252073619</v>
      </c>
      <c r="S25" s="279">
        <f>R25-R24</f>
        <v>-136.17078142928511</v>
      </c>
      <c r="T25" s="279">
        <f t="shared" si="13"/>
        <v>-13.71648281337189</v>
      </c>
      <c r="U25" s="279">
        <f>T25+V24+U24</f>
        <v>35.036655873148298</v>
      </c>
      <c r="V25" s="279">
        <f t="shared" si="14"/>
        <v>6.5311385303219883E-3</v>
      </c>
      <c r="W25" s="281"/>
      <c r="Y25" s="198" t="s">
        <v>233</v>
      </c>
      <c r="Z25" s="198">
        <f>U32</f>
        <v>1.7432721563976215</v>
      </c>
    </row>
    <row r="26" spans="2:26" ht="13.9">
      <c r="B26" s="249">
        <f t="shared" si="10"/>
        <v>45603</v>
      </c>
      <c r="C26" s="59" t="str">
        <f t="shared" si="10"/>
        <v>MRK 11/15/24 C102</v>
      </c>
      <c r="D26" s="90">
        <f t="shared" si="10"/>
        <v>101.17</v>
      </c>
      <c r="E26" s="96">
        <f t="shared" si="10"/>
        <v>4.3586002632092762E-3</v>
      </c>
      <c r="F26" s="251">
        <f t="shared" si="10"/>
        <v>102</v>
      </c>
      <c r="G26" s="90">
        <f t="shared" si="10"/>
        <v>0.93000000715255704</v>
      </c>
      <c r="H26" s="90">
        <f t="shared" si="10"/>
        <v>0.87999999523162797</v>
      </c>
      <c r="I26" s="90">
        <f t="shared" si="10"/>
        <v>1.5</v>
      </c>
      <c r="J26" s="97">
        <f t="shared" si="10"/>
        <v>4.6974999999999996E-2</v>
      </c>
      <c r="K26" s="93">
        <f t="shared" si="10"/>
        <v>2.3809523809523808E-2</v>
      </c>
      <c r="L26" s="74">
        <f t="shared" si="15"/>
        <v>1.189999997615814</v>
      </c>
      <c r="M26" s="56">
        <f>(LN(D26/F26)+(J26+(P26^2)/2)*K26)/(P26*SQRT(K26))</f>
        <v>-0.2718287847688573</v>
      </c>
      <c r="N26" s="214">
        <f t="shared" si="17"/>
        <v>10</v>
      </c>
      <c r="O26" s="218">
        <f t="shared" si="17"/>
        <v>1000</v>
      </c>
      <c r="P26" s="97">
        <f>'Historical Prices'!F26</f>
        <v>0.16079264913612296</v>
      </c>
      <c r="Q26" s="279">
        <f t="shared" si="11"/>
        <v>0.39287683562489362</v>
      </c>
      <c r="R26" s="279">
        <f t="shared" si="12"/>
        <v>392.8768356248936</v>
      </c>
      <c r="S26" s="279">
        <f t="shared" ref="S26:S32" si="18">R26-R25</f>
        <v>49.519310417531699</v>
      </c>
      <c r="T26" s="279">
        <f t="shared" si="13"/>
        <v>5.0098686349416823</v>
      </c>
      <c r="U26" s="279">
        <f t="shared" ref="U26:U32" si="19">T26+V25+U25</f>
        <v>40.053055646620301</v>
      </c>
      <c r="V26" s="279">
        <f t="shared" si="14"/>
        <v>7.4662392420634461E-3</v>
      </c>
      <c r="W26" s="281"/>
      <c r="Y26" s="198" t="s">
        <v>235</v>
      </c>
      <c r="Z26" s="254">
        <f>W32</f>
        <v>0</v>
      </c>
    </row>
    <row r="27" spans="2:26" ht="13.9">
      <c r="B27" s="249">
        <f t="shared" si="10"/>
        <v>45604</v>
      </c>
      <c r="C27" s="59" t="str">
        <f t="shared" si="10"/>
        <v>MRK 11/15/24 C102</v>
      </c>
      <c r="D27" s="90">
        <f t="shared" si="10"/>
        <v>102.92</v>
      </c>
      <c r="E27" s="96">
        <f t="shared" si="10"/>
        <v>1.7149717195744381E-2</v>
      </c>
      <c r="F27" s="251">
        <f t="shared" si="10"/>
        <v>102</v>
      </c>
      <c r="G27" s="90">
        <f t="shared" si="10"/>
        <v>1.69999980926514</v>
      </c>
      <c r="H27" s="90">
        <f t="shared" si="10"/>
        <v>1.57999992370605</v>
      </c>
      <c r="I27" s="90">
        <f t="shared" si="10"/>
        <v>2.1400003433227499</v>
      </c>
      <c r="J27" s="97">
        <f t="shared" si="10"/>
        <v>4.6974999999999996E-2</v>
      </c>
      <c r="K27" s="93">
        <f t="shared" si="10"/>
        <v>1.984126984126984E-2</v>
      </c>
      <c r="L27" s="74">
        <f t="shared" si="15"/>
        <v>1.8600001335143999</v>
      </c>
      <c r="M27" s="56">
        <f t="shared" si="16"/>
        <v>0.44413242954340598</v>
      </c>
      <c r="N27" s="214">
        <f t="shared" si="17"/>
        <v>10</v>
      </c>
      <c r="O27" s="218">
        <f t="shared" si="17"/>
        <v>1000</v>
      </c>
      <c r="P27" s="97">
        <f>'Historical Prices'!F27</f>
        <v>0.16262089685738157</v>
      </c>
      <c r="Q27" s="279">
        <f t="shared" si="11"/>
        <v>0.67152657928000237</v>
      </c>
      <c r="R27" s="279">
        <f t="shared" si="12"/>
        <v>671.52657928000235</v>
      </c>
      <c r="S27" s="279">
        <f t="shared" si="18"/>
        <v>278.64974365510875</v>
      </c>
      <c r="T27" s="279">
        <f t="shared" si="13"/>
        <v>28.678631616983793</v>
      </c>
      <c r="U27" s="279">
        <f t="shared" si="19"/>
        <v>68.739153502846165</v>
      </c>
      <c r="V27" s="279">
        <f t="shared" si="14"/>
        <v>1.2813578316651579E-2</v>
      </c>
      <c r="W27" s="281"/>
      <c r="Y27" s="198" t="s">
        <v>237</v>
      </c>
      <c r="Z27" s="254">
        <f>(Z26*J24)/100</f>
        <v>0</v>
      </c>
    </row>
    <row r="28" spans="2:26" ht="13.9">
      <c r="B28" s="249">
        <f t="shared" si="10"/>
        <v>45607</v>
      </c>
      <c r="C28" s="59" t="str">
        <f t="shared" si="10"/>
        <v>MRK 11/15/24 C102</v>
      </c>
      <c r="D28" s="90">
        <f t="shared" si="10"/>
        <v>100.73</v>
      </c>
      <c r="E28" s="96">
        <f t="shared" si="10"/>
        <v>2.1575268677358095E-2</v>
      </c>
      <c r="F28" s="251">
        <f t="shared" si="10"/>
        <v>102</v>
      </c>
      <c r="G28" s="90">
        <f t="shared" si="10"/>
        <v>0.41000002622604398</v>
      </c>
      <c r="H28" s="90">
        <f t="shared" si="10"/>
        <v>0.34000003337860102</v>
      </c>
      <c r="I28" s="90">
        <f t="shared" si="10"/>
        <v>0.56999999284744296</v>
      </c>
      <c r="J28" s="97">
        <f t="shared" si="10"/>
        <v>4.6974999999999996E-2</v>
      </c>
      <c r="K28" s="93">
        <f t="shared" si="10"/>
        <v>1.5873015873015872E-2</v>
      </c>
      <c r="L28" s="74">
        <f t="shared" si="15"/>
        <v>0.45500001311302196</v>
      </c>
      <c r="M28" s="56">
        <f t="shared" si="16"/>
        <v>-0.55920609774951546</v>
      </c>
      <c r="N28" s="214">
        <f t="shared" si="17"/>
        <v>10</v>
      </c>
      <c r="O28" s="218">
        <f t="shared" si="17"/>
        <v>1000</v>
      </c>
      <c r="P28" s="97">
        <f>'Historical Prices'!F28</f>
        <v>0.1642148881279055</v>
      </c>
      <c r="Q28" s="279">
        <f t="shared" si="11"/>
        <v>0.28801053603589766</v>
      </c>
      <c r="R28" s="279">
        <f t="shared" si="12"/>
        <v>288.01053603589764</v>
      </c>
      <c r="S28" s="279">
        <f t="shared" si="18"/>
        <v>-383.51604324410471</v>
      </c>
      <c r="T28" s="279">
        <f t="shared" si="13"/>
        <v>-38.631571035978666</v>
      </c>
      <c r="U28" s="279">
        <f t="shared" si="19"/>
        <v>30.120396045184151</v>
      </c>
      <c r="V28" s="279">
        <f t="shared" si="14"/>
        <v>5.6147047786608145E-3</v>
      </c>
      <c r="W28" s="281"/>
      <c r="Y28" s="198" t="s">
        <v>238</v>
      </c>
      <c r="Z28" s="198">
        <f>(R32*D32)/1000</f>
        <v>0</v>
      </c>
    </row>
    <row r="29" spans="2:26" ht="13.9">
      <c r="B29" s="249">
        <f t="shared" si="10"/>
        <v>45608</v>
      </c>
      <c r="C29" s="59" t="str">
        <f t="shared" si="10"/>
        <v>MRK 11/15/24 C102</v>
      </c>
      <c r="D29" s="90">
        <f t="shared" si="10"/>
        <v>98.58</v>
      </c>
      <c r="E29" s="96">
        <f t="shared" si="10"/>
        <v>8.1185309918848237E-4</v>
      </c>
      <c r="F29" s="251">
        <f t="shared" si="10"/>
        <v>102</v>
      </c>
      <c r="G29" s="90">
        <f t="shared" si="10"/>
        <v>7.9999983310699505E-2</v>
      </c>
      <c r="H29" s="90">
        <f t="shared" si="10"/>
        <v>7.9999983310699505E-2</v>
      </c>
      <c r="I29" s="90">
        <f t="shared" si="10"/>
        <v>0.110000014305115</v>
      </c>
      <c r="J29" s="97">
        <f t="shared" si="10"/>
        <v>4.6974999999999996E-2</v>
      </c>
      <c r="K29" s="93">
        <f t="shared" si="10"/>
        <v>1.1904761904761904E-2</v>
      </c>
      <c r="L29" s="241">
        <f t="shared" si="15"/>
        <v>9.4999998807907243E-2</v>
      </c>
      <c r="M29" s="56">
        <f t="shared" si="16"/>
        <v>-1.7516416852620817</v>
      </c>
      <c r="N29" s="214">
        <f t="shared" si="17"/>
        <v>10</v>
      </c>
      <c r="O29" s="218">
        <f t="shared" si="17"/>
        <v>1000</v>
      </c>
      <c r="P29" s="97">
        <f>'Historical Prices'!F29</f>
        <v>0.17457004916402893</v>
      </c>
      <c r="Q29" s="279">
        <f t="shared" si="11"/>
        <v>3.9917719992382077E-2</v>
      </c>
      <c r="R29" s="279">
        <f t="shared" si="12"/>
        <v>39.917719992382075</v>
      </c>
      <c r="S29" s="279">
        <f t="shared" si="18"/>
        <v>-248.09281604351557</v>
      </c>
      <c r="T29" s="279">
        <f t="shared" si="13"/>
        <v>-24.456989805569762</v>
      </c>
      <c r="U29" s="279">
        <f t="shared" si="19"/>
        <v>5.6690209443930506</v>
      </c>
      <c r="V29" s="279">
        <f t="shared" si="14"/>
        <v>1.0567549954875535E-3</v>
      </c>
      <c r="W29" s="281"/>
      <c r="Y29" s="198" t="s">
        <v>239</v>
      </c>
      <c r="Z29" s="254">
        <f>'Bloomberg Raw Data-5th(No zero)'!E11</f>
        <v>1.6900005340576201</v>
      </c>
    </row>
    <row r="30" spans="2:26" ht="13.9">
      <c r="B30" s="249">
        <f t="shared" si="10"/>
        <v>45609</v>
      </c>
      <c r="C30" s="59" t="str">
        <f t="shared" si="10"/>
        <v>MRK 11/15/24 C102</v>
      </c>
      <c r="D30" s="90">
        <f t="shared" si="10"/>
        <v>98.5</v>
      </c>
      <c r="E30" s="96">
        <f t="shared" si="10"/>
        <v>1.4223308300512997E-3</v>
      </c>
      <c r="F30" s="251">
        <f t="shared" si="10"/>
        <v>102</v>
      </c>
      <c r="G30" s="90">
        <f t="shared" si="10"/>
        <v>5.0000000745058101E-2</v>
      </c>
      <c r="H30" s="90">
        <f t="shared" si="10"/>
        <v>3.0000001192092899E-2</v>
      </c>
      <c r="I30" s="90">
        <f t="shared" si="10"/>
        <v>5.0000000745058101E-2</v>
      </c>
      <c r="J30" s="97">
        <f t="shared" si="10"/>
        <v>4.6974999999999996E-2</v>
      </c>
      <c r="K30" s="93">
        <f t="shared" si="10"/>
        <v>7.9365079365079361E-3</v>
      </c>
      <c r="L30" s="74">
        <f t="shared" si="15"/>
        <v>4.0000000968575498E-2</v>
      </c>
      <c r="M30" s="56">
        <f t="shared" si="16"/>
        <v>-2.1175557515542183</v>
      </c>
      <c r="N30" s="214">
        <f t="shared" si="17"/>
        <v>10</v>
      </c>
      <c r="O30" s="218">
        <f t="shared" si="17"/>
        <v>1000</v>
      </c>
      <c r="P30" s="97">
        <f>'Historical Prices'!F30</f>
        <v>0.18241177059688982</v>
      </c>
      <c r="Q30" s="279">
        <f t="shared" si="11"/>
        <v>1.7106354477852866E-2</v>
      </c>
      <c r="R30" s="279">
        <f t="shared" si="12"/>
        <v>17.106354477852864</v>
      </c>
      <c r="S30" s="279">
        <f t="shared" si="18"/>
        <v>-22.811365514529211</v>
      </c>
      <c r="T30" s="279">
        <f t="shared" si="13"/>
        <v>-2.2469195031811271</v>
      </c>
      <c r="U30" s="279">
        <f t="shared" si="19"/>
        <v>3.4231581962074111</v>
      </c>
      <c r="V30" s="279">
        <f t="shared" si="14"/>
        <v>6.3810657248747273E-4</v>
      </c>
      <c r="W30" s="281"/>
      <c r="Y30" s="278" t="s">
        <v>240</v>
      </c>
      <c r="Z30" s="282">
        <f>Z28+Z27-Z25</f>
        <v>-1.7432721563976215</v>
      </c>
    </row>
    <row r="31" spans="2:26" ht="13.9">
      <c r="B31" s="249">
        <f t="shared" si="10"/>
        <v>45610</v>
      </c>
      <c r="C31" s="59" t="str">
        <f t="shared" si="10"/>
        <v>MRK 11/15/24 C102</v>
      </c>
      <c r="D31" s="90">
        <f t="shared" si="10"/>
        <v>98.36</v>
      </c>
      <c r="E31" s="96">
        <f t="shared" si="10"/>
        <v>2.1062061775218938E-2</v>
      </c>
      <c r="F31" s="251">
        <f t="shared" si="10"/>
        <v>102</v>
      </c>
      <c r="G31" s="90">
        <f t="shared" si="10"/>
        <v>1.9999999552965199E-2</v>
      </c>
      <c r="H31" s="90">
        <f t="shared" si="10"/>
        <v>9.9999997764825804E-3</v>
      </c>
      <c r="I31" s="90">
        <f t="shared" si="10"/>
        <v>3.9999999105930301E-2</v>
      </c>
      <c r="J31" s="97">
        <f t="shared" si="10"/>
        <v>4.6974999999999996E-2</v>
      </c>
      <c r="K31" s="93">
        <f t="shared" si="10"/>
        <v>3.968253968253968E-3</v>
      </c>
      <c r="L31" s="74">
        <f t="shared" si="15"/>
        <v>2.4999999441206441E-2</v>
      </c>
      <c r="M31" s="56">
        <f t="shared" si="16"/>
        <v>-3.142508365489757</v>
      </c>
      <c r="N31" s="214">
        <f t="shared" si="17"/>
        <v>10</v>
      </c>
      <c r="O31" s="218">
        <f t="shared" si="17"/>
        <v>1000</v>
      </c>
      <c r="P31" s="97">
        <f>'Historical Prices'!F31</f>
        <v>0.18229117147918533</v>
      </c>
      <c r="Q31" s="279">
        <f t="shared" si="11"/>
        <v>8.3753463267297892E-4</v>
      </c>
      <c r="R31" s="279">
        <f t="shared" si="12"/>
        <v>0.8375346326729789</v>
      </c>
      <c r="S31" s="279">
        <f t="shared" si="18"/>
        <v>-16.268819845179884</v>
      </c>
      <c r="T31" s="279">
        <f t="shared" si="13"/>
        <v>-1.6002011199718933</v>
      </c>
      <c r="U31" s="279">
        <f t="shared" si="19"/>
        <v>1.8235951828080053</v>
      </c>
      <c r="V31" s="279">
        <f t="shared" si="14"/>
        <v>3.3993406235081756E-4</v>
      </c>
      <c r="W31" s="279">
        <f>MAX(D31-F31,0)</f>
        <v>0</v>
      </c>
    </row>
    <row r="32" spans="2:26" ht="13.9">
      <c r="B32" s="249">
        <f t="shared" si="10"/>
        <v>45611</v>
      </c>
      <c r="C32" s="59" t="str">
        <f t="shared" si="10"/>
        <v>MRK 11/15/24 C102</v>
      </c>
      <c r="D32" s="90">
        <f t="shared" si="10"/>
        <v>96.31</v>
      </c>
      <c r="E32" s="96">
        <f t="shared" si="10"/>
        <v>0</v>
      </c>
      <c r="F32" s="251">
        <f t="shared" si="10"/>
        <v>102</v>
      </c>
      <c r="G32" s="90">
        <f t="shared" si="10"/>
        <v>1.00000016391277E-2</v>
      </c>
      <c r="H32" s="90">
        <f t="shared" si="10"/>
        <v>0</v>
      </c>
      <c r="I32" s="90">
        <f t="shared" si="10"/>
        <v>1.00000016391277E-2</v>
      </c>
      <c r="J32" s="97">
        <f t="shared" si="10"/>
        <v>4.6974999999999996E-2</v>
      </c>
      <c r="K32" s="93">
        <f t="shared" si="10"/>
        <v>0</v>
      </c>
      <c r="L32" s="74">
        <f t="shared" si="15"/>
        <v>5.00000081956385E-3</v>
      </c>
      <c r="M32" s="56">
        <v>0</v>
      </c>
      <c r="N32" s="214">
        <f t="shared" si="17"/>
        <v>10</v>
      </c>
      <c r="O32" s="218">
        <f t="shared" si="17"/>
        <v>1000</v>
      </c>
      <c r="P32" s="97">
        <f>'Historical Prices'!F32</f>
        <v>0.16700370702456038</v>
      </c>
      <c r="Q32" s="279"/>
      <c r="R32" s="279">
        <f t="shared" si="12"/>
        <v>0</v>
      </c>
      <c r="S32" s="279">
        <f t="shared" si="18"/>
        <v>-0.8375346326729789</v>
      </c>
      <c r="T32" s="279">
        <f t="shared" si="13"/>
        <v>-8.0662960472734593E-2</v>
      </c>
      <c r="U32" s="279">
        <f t="shared" si="19"/>
        <v>1.7432721563976215</v>
      </c>
      <c r="V32" s="279">
        <f t="shared" si="14"/>
        <v>3.2496114899515185E-4</v>
      </c>
      <c r="W32" s="279">
        <f>MAX(D32-F32,0)</f>
        <v>0</v>
      </c>
    </row>
    <row r="37" spans="2:11" ht="30">
      <c r="B37" s="438" t="s">
        <v>243</v>
      </c>
      <c r="C37" s="450"/>
      <c r="D37" s="450"/>
      <c r="E37" s="450"/>
      <c r="F37" s="450"/>
      <c r="G37" s="450"/>
      <c r="H37" s="450"/>
      <c r="I37" s="450"/>
      <c r="J37" s="450"/>
    </row>
    <row r="38" spans="2:11">
      <c r="B38" s="186"/>
      <c r="C38" s="186"/>
      <c r="D38" s="186"/>
      <c r="E38" s="186"/>
      <c r="F38" s="187"/>
      <c r="G38" s="186"/>
      <c r="H38" s="186"/>
      <c r="I38" s="186"/>
      <c r="J38" s="188"/>
    </row>
    <row r="39" spans="2:11">
      <c r="B39" s="186"/>
      <c r="C39" s="190" t="s">
        <v>223</v>
      </c>
      <c r="D39" s="190" t="s">
        <v>244</v>
      </c>
      <c r="E39" s="190" t="s">
        <v>245</v>
      </c>
      <c r="F39" s="191" t="s">
        <v>246</v>
      </c>
      <c r="G39" s="191" t="s">
        <v>247</v>
      </c>
      <c r="H39" s="192" t="s">
        <v>248</v>
      </c>
      <c r="I39" s="186"/>
      <c r="J39" s="186"/>
      <c r="K39" s="189"/>
    </row>
    <row r="40" spans="2:11">
      <c r="B40" s="186"/>
      <c r="C40" s="193">
        <v>45569</v>
      </c>
      <c r="D40" s="202">
        <v>109.77</v>
      </c>
      <c r="E40" s="204">
        <f t="shared" ref="E40:E69" si="20">(C41-C40)/D41</f>
        <v>2.7626853301408967E-2</v>
      </c>
      <c r="F40" s="194"/>
      <c r="G40" s="194"/>
      <c r="H40" s="195"/>
      <c r="I40" s="186"/>
      <c r="J40" s="186"/>
      <c r="K40" s="189"/>
    </row>
    <row r="41" spans="2:11">
      <c r="B41" s="186"/>
      <c r="C41" s="193">
        <v>45572</v>
      </c>
      <c r="D41" s="202">
        <v>108.59</v>
      </c>
      <c r="E41" s="204">
        <f t="shared" si="20"/>
        <v>9.2148912642830826E-3</v>
      </c>
      <c r="F41" s="204">
        <f t="shared" ref="F41:F70" si="21">LN(D41/D40)</f>
        <v>-1.0807945470415938E-2</v>
      </c>
      <c r="G41" s="204"/>
      <c r="H41" s="204"/>
      <c r="I41" s="186"/>
      <c r="J41" s="186"/>
      <c r="K41" s="189"/>
    </row>
    <row r="42" spans="2:11">
      <c r="B42" s="186"/>
      <c r="C42" s="193">
        <v>45573</v>
      </c>
      <c r="D42" s="202">
        <v>108.52</v>
      </c>
      <c r="E42" s="204">
        <f t="shared" si="20"/>
        <v>9.0686496780629372E-3</v>
      </c>
      <c r="F42" s="204">
        <f t="shared" si="21"/>
        <v>-6.4483443807811453E-4</v>
      </c>
      <c r="G42" s="204"/>
      <c r="H42" s="204"/>
      <c r="I42" s="186"/>
      <c r="J42" s="186"/>
      <c r="K42" s="189"/>
    </row>
    <row r="43" spans="2:11">
      <c r="B43" s="186"/>
      <c r="C43" s="193">
        <v>45574</v>
      </c>
      <c r="D43" s="202">
        <v>110.27</v>
      </c>
      <c r="E43" s="204">
        <f t="shared" si="20"/>
        <v>9.140767824497258E-3</v>
      </c>
      <c r="F43" s="204">
        <f t="shared" si="21"/>
        <v>1.5997415979856214E-2</v>
      </c>
      <c r="G43" s="204"/>
      <c r="H43" s="204"/>
      <c r="I43" s="186"/>
      <c r="J43" s="186"/>
      <c r="K43" s="189"/>
    </row>
    <row r="44" spans="2:11">
      <c r="B44" s="186"/>
      <c r="C44" s="193">
        <v>45575</v>
      </c>
      <c r="D44" s="202">
        <v>109.4</v>
      </c>
      <c r="E44" s="204">
        <f t="shared" si="20"/>
        <v>9.1132780461131869E-3</v>
      </c>
      <c r="F44" s="204">
        <f t="shared" si="21"/>
        <v>-7.9210137827062516E-3</v>
      </c>
      <c r="G44" s="204"/>
      <c r="H44" s="204"/>
      <c r="I44" s="186"/>
      <c r="J44" s="186"/>
      <c r="K44" s="189"/>
    </row>
    <row r="45" spans="2:11">
      <c r="B45" s="186"/>
      <c r="C45" s="193">
        <v>45576</v>
      </c>
      <c r="D45" s="202">
        <v>109.73</v>
      </c>
      <c r="E45" s="204">
        <f t="shared" si="20"/>
        <v>2.7349803993071384E-2</v>
      </c>
      <c r="F45" s="204">
        <f t="shared" si="21"/>
        <v>3.0119130148268405E-3</v>
      </c>
      <c r="G45" s="204"/>
      <c r="H45" s="204"/>
      <c r="I45" s="186"/>
      <c r="J45" s="186"/>
      <c r="K45" s="189"/>
    </row>
    <row r="46" spans="2:11">
      <c r="B46" s="186"/>
      <c r="C46" s="193">
        <v>45579</v>
      </c>
      <c r="D46" s="202">
        <v>109.69</v>
      </c>
      <c r="E46" s="204">
        <f t="shared" si="20"/>
        <v>8.9661974356675337E-3</v>
      </c>
      <c r="F46" s="204">
        <f t="shared" si="21"/>
        <v>-3.6459757946500368E-4</v>
      </c>
      <c r="G46" s="204"/>
      <c r="H46" s="204"/>
      <c r="I46" s="186"/>
      <c r="J46" s="186"/>
      <c r="K46" s="189"/>
    </row>
    <row r="47" spans="2:11">
      <c r="B47" s="186"/>
      <c r="C47" s="193">
        <v>45580</v>
      </c>
      <c r="D47" s="202">
        <v>111.53</v>
      </c>
      <c r="E47" s="204">
        <f t="shared" si="20"/>
        <v>9.056330374932078E-3</v>
      </c>
      <c r="F47" s="204">
        <f t="shared" si="21"/>
        <v>1.6635407583202821E-2</v>
      </c>
      <c r="G47" s="204"/>
      <c r="H47" s="204"/>
      <c r="I47" s="186"/>
      <c r="J47" s="186"/>
      <c r="K47" s="189"/>
    </row>
    <row r="48" spans="2:11">
      <c r="B48" s="186"/>
      <c r="C48" s="193">
        <v>45581</v>
      </c>
      <c r="D48" s="202">
        <v>110.42</v>
      </c>
      <c r="E48" s="204">
        <f t="shared" si="20"/>
        <v>9.1116173120728925E-3</v>
      </c>
      <c r="F48" s="204">
        <f t="shared" si="21"/>
        <v>-1.0002336150547016E-2</v>
      </c>
      <c r="G48" s="204"/>
      <c r="H48" s="204"/>
      <c r="I48" s="186"/>
      <c r="J48" s="186"/>
      <c r="K48" s="189"/>
    </row>
    <row r="49" spans="2:11">
      <c r="B49" s="186"/>
      <c r="C49" s="193">
        <v>45582</v>
      </c>
      <c r="D49" s="202">
        <v>109.75</v>
      </c>
      <c r="E49" s="204">
        <f t="shared" si="20"/>
        <v>9.1996320147194107E-3</v>
      </c>
      <c r="F49" s="204">
        <f t="shared" si="21"/>
        <v>-6.0862249006177959E-3</v>
      </c>
      <c r="G49" s="204"/>
      <c r="H49" s="204"/>
      <c r="I49" s="186"/>
      <c r="J49" s="186"/>
      <c r="K49" s="189"/>
    </row>
    <row r="50" spans="2:11">
      <c r="B50" s="186"/>
      <c r="C50" s="193">
        <v>45583</v>
      </c>
      <c r="D50" s="202">
        <v>108.7</v>
      </c>
      <c r="E50" s="204">
        <f t="shared" si="20"/>
        <v>2.8211397404551437E-2</v>
      </c>
      <c r="F50" s="204">
        <f t="shared" si="21"/>
        <v>-9.6132578281169171E-3</v>
      </c>
      <c r="G50" s="204"/>
      <c r="H50" s="204"/>
      <c r="I50" s="186"/>
      <c r="J50" s="186"/>
      <c r="K50" s="189"/>
    </row>
    <row r="51" spans="2:11">
      <c r="B51" s="186"/>
      <c r="C51" s="193">
        <v>45586</v>
      </c>
      <c r="D51" s="202">
        <v>106.34</v>
      </c>
      <c r="E51" s="204">
        <f t="shared" si="20"/>
        <v>9.377344336084021E-3</v>
      </c>
      <c r="F51" s="204">
        <f t="shared" si="21"/>
        <v>-2.1950286050971331E-2</v>
      </c>
      <c r="G51" s="204"/>
      <c r="H51" s="204"/>
      <c r="I51" s="186"/>
      <c r="J51" s="186"/>
      <c r="K51" s="189"/>
    </row>
    <row r="52" spans="2:11">
      <c r="B52" s="186"/>
      <c r="C52" s="193">
        <v>45587</v>
      </c>
      <c r="D52" s="202">
        <v>106.64</v>
      </c>
      <c r="E52" s="204">
        <f t="shared" si="20"/>
        <v>9.4002632073698061E-3</v>
      </c>
      <c r="F52" s="204">
        <f t="shared" si="21"/>
        <v>2.8171677942608322E-3</v>
      </c>
      <c r="G52" s="204"/>
      <c r="H52" s="204"/>
      <c r="I52" s="186"/>
      <c r="J52" s="186"/>
      <c r="K52" s="189"/>
    </row>
    <row r="53" spans="2:11">
      <c r="B53" s="186"/>
      <c r="C53" s="193">
        <v>45588</v>
      </c>
      <c r="D53" s="202">
        <v>106.38</v>
      </c>
      <c r="E53" s="204">
        <f t="shared" si="20"/>
        <v>9.4446543256516812E-3</v>
      </c>
      <c r="F53" s="204">
        <f t="shared" si="21"/>
        <v>-2.4410865562817441E-3</v>
      </c>
      <c r="G53" s="204"/>
      <c r="H53" s="204"/>
      <c r="I53" s="186"/>
      <c r="J53" s="186"/>
      <c r="K53" s="189"/>
    </row>
    <row r="54" spans="2:11">
      <c r="B54" s="186"/>
      <c r="C54" s="193">
        <v>45589</v>
      </c>
      <c r="D54" s="202">
        <v>105.88</v>
      </c>
      <c r="E54" s="204">
        <f t="shared" si="20"/>
        <v>9.6172340834775917E-3</v>
      </c>
      <c r="F54" s="204">
        <f t="shared" si="21"/>
        <v>-4.7112119552709759E-3</v>
      </c>
      <c r="G54" s="204"/>
      <c r="H54" s="204"/>
      <c r="I54" s="186"/>
      <c r="J54" s="186"/>
      <c r="K54" s="189"/>
    </row>
    <row r="55" spans="2:11">
      <c r="B55" s="186"/>
      <c r="C55" s="193">
        <v>45590</v>
      </c>
      <c r="D55" s="202">
        <v>103.98</v>
      </c>
      <c r="E55" s="204">
        <f t="shared" si="20"/>
        <v>2.8782500239854167E-2</v>
      </c>
      <c r="F55" s="204">
        <f t="shared" si="21"/>
        <v>-1.8107804403330739E-2</v>
      </c>
      <c r="G55" s="204"/>
      <c r="H55" s="204"/>
      <c r="I55" s="186"/>
      <c r="J55" s="186"/>
      <c r="K55" s="189"/>
    </row>
    <row r="56" spans="2:11">
      <c r="B56" s="186"/>
      <c r="C56" s="193">
        <v>45593</v>
      </c>
      <c r="D56" s="202">
        <v>104.23</v>
      </c>
      <c r="E56" s="204">
        <f t="shared" si="20"/>
        <v>9.6404126096596935E-3</v>
      </c>
      <c r="F56" s="204">
        <f t="shared" si="21"/>
        <v>2.4014227956611809E-3</v>
      </c>
      <c r="G56" s="204"/>
      <c r="H56" s="204"/>
      <c r="I56" s="186"/>
      <c r="J56" s="186"/>
      <c r="K56" s="189"/>
    </row>
    <row r="57" spans="2:11">
      <c r="B57" s="186"/>
      <c r="C57" s="193">
        <v>45594</v>
      </c>
      <c r="D57" s="202">
        <v>103.73</v>
      </c>
      <c r="E57" s="204">
        <f t="shared" si="20"/>
        <v>9.5392540303348271E-3</v>
      </c>
      <c r="F57" s="204">
        <f t="shared" si="21"/>
        <v>-4.8086263074941975E-3</v>
      </c>
      <c r="G57" s="204"/>
      <c r="H57" s="204"/>
      <c r="I57" s="186"/>
      <c r="J57" s="186"/>
      <c r="K57" s="189"/>
    </row>
    <row r="58" spans="2:11">
      <c r="B58" s="186"/>
      <c r="C58" s="193">
        <v>45595</v>
      </c>
      <c r="D58" s="202">
        <v>104.83</v>
      </c>
      <c r="E58" s="204">
        <f t="shared" si="20"/>
        <v>9.7732603596559827E-3</v>
      </c>
      <c r="F58" s="204">
        <f t="shared" si="21"/>
        <v>1.0548621020744541E-2</v>
      </c>
      <c r="G58" s="204"/>
      <c r="H58" s="204"/>
      <c r="I58" s="186"/>
      <c r="J58" s="186"/>
      <c r="K58" s="189"/>
    </row>
    <row r="59" spans="2:11">
      <c r="B59" s="186"/>
      <c r="C59" s="193">
        <v>45596</v>
      </c>
      <c r="D59" s="202">
        <v>102.32</v>
      </c>
      <c r="E59" s="204">
        <f t="shared" si="20"/>
        <v>9.8154691794267775E-3</v>
      </c>
      <c r="F59" s="204">
        <f t="shared" si="21"/>
        <v>-2.4234833193894113E-2</v>
      </c>
      <c r="G59" s="204"/>
      <c r="H59" s="204"/>
      <c r="I59" s="186"/>
      <c r="J59" s="186"/>
      <c r="K59" s="189"/>
    </row>
    <row r="60" spans="2:11">
      <c r="B60" s="186"/>
      <c r="C60" s="193">
        <v>45597</v>
      </c>
      <c r="D60" s="202">
        <v>101.88</v>
      </c>
      <c r="E60" s="204">
        <f t="shared" si="20"/>
        <v>2.9449298125061352E-2</v>
      </c>
      <c r="F60" s="204">
        <f t="shared" si="21"/>
        <v>-4.3095071593309327E-3</v>
      </c>
      <c r="G60" s="204"/>
      <c r="H60" s="204"/>
      <c r="I60" s="186"/>
      <c r="J60" s="186"/>
      <c r="K60" s="189"/>
    </row>
    <row r="61" spans="2:11">
      <c r="B61" s="186"/>
      <c r="C61" s="193">
        <v>45600</v>
      </c>
      <c r="D61" s="202">
        <v>101.87</v>
      </c>
      <c r="E61" s="204">
        <f t="shared" si="20"/>
        <v>9.8376783079193297E-3</v>
      </c>
      <c r="F61" s="204">
        <f t="shared" si="21"/>
        <v>-9.8159509281196933E-5</v>
      </c>
      <c r="G61" s="204"/>
      <c r="H61" s="204"/>
      <c r="I61" s="186"/>
      <c r="J61" s="186"/>
      <c r="K61" s="189"/>
    </row>
    <row r="62" spans="2:11">
      <c r="B62" s="186"/>
      <c r="C62" s="193">
        <v>45601</v>
      </c>
      <c r="D62" s="202">
        <v>101.65</v>
      </c>
      <c r="E62" s="204">
        <f t="shared" si="20"/>
        <v>9.9275290380224351E-3</v>
      </c>
      <c r="F62" s="204">
        <f t="shared" si="21"/>
        <v>-2.161950527619365E-3</v>
      </c>
      <c r="G62" s="204">
        <f t="shared" ref="G62:G70" si="22">_xlfn.STDEV.P(F40:F61)</f>
        <v>1.0414176684675891E-2</v>
      </c>
      <c r="H62" s="204">
        <f t="shared" ref="H62:H70" si="23">G62*SQRT(252)</f>
        <v>0.16531992970283718</v>
      </c>
      <c r="I62" s="186"/>
      <c r="J62" s="186"/>
      <c r="K62" s="189"/>
    </row>
    <row r="63" spans="2:11">
      <c r="C63" s="193">
        <v>45602</v>
      </c>
      <c r="D63" s="265">
        <v>100.73</v>
      </c>
      <c r="E63" s="266">
        <f t="shared" si="20"/>
        <v>9.8843530690916285E-3</v>
      </c>
      <c r="F63" s="267">
        <f t="shared" si="21"/>
        <v>-9.0918701197659074E-3</v>
      </c>
      <c r="G63" s="267">
        <f t="shared" si="22"/>
        <v>1.0178884966555416E-2</v>
      </c>
      <c r="H63" s="267">
        <f t="shared" si="23"/>
        <v>0.16158478947263788</v>
      </c>
    </row>
    <row r="64" spans="2:11">
      <c r="C64" s="193">
        <v>45603</v>
      </c>
      <c r="D64" s="265">
        <v>101.17</v>
      </c>
      <c r="E64" s="266">
        <f t="shared" si="20"/>
        <v>9.7162844928099495E-3</v>
      </c>
      <c r="F64" s="267">
        <f t="shared" si="21"/>
        <v>4.3586002632092762E-3</v>
      </c>
      <c r="G64" s="267">
        <f t="shared" si="22"/>
        <v>1.0128984815748714E-2</v>
      </c>
      <c r="H64" s="267">
        <f t="shared" si="23"/>
        <v>0.16079264913612296</v>
      </c>
    </row>
    <row r="65" spans="3:8">
      <c r="C65" s="193">
        <v>45604</v>
      </c>
      <c r="D65" s="265">
        <v>102.92</v>
      </c>
      <c r="E65" s="266">
        <f t="shared" si="20"/>
        <v>2.9782587114067307E-2</v>
      </c>
      <c r="F65" s="267">
        <f t="shared" si="21"/>
        <v>1.7149717195744381E-2</v>
      </c>
      <c r="G65" s="267">
        <f t="shared" si="22"/>
        <v>1.0244153596831352E-2</v>
      </c>
      <c r="H65" s="267">
        <f t="shared" si="23"/>
        <v>0.16262089685738157</v>
      </c>
    </row>
    <row r="66" spans="3:8">
      <c r="C66" s="193">
        <v>45607</v>
      </c>
      <c r="D66" s="265">
        <v>100.73</v>
      </c>
      <c r="E66" s="266">
        <f t="shared" si="20"/>
        <v>1.0144045445323595E-2</v>
      </c>
      <c r="F66" s="267">
        <f t="shared" si="21"/>
        <v>-2.1508317458953617E-2</v>
      </c>
      <c r="G66" s="267">
        <f t="shared" si="22"/>
        <v>1.0344565608588834E-2</v>
      </c>
      <c r="H66" s="267">
        <f t="shared" si="23"/>
        <v>0.1642148881279055</v>
      </c>
    </row>
    <row r="67" spans="3:8">
      <c r="C67" s="193">
        <v>45608</v>
      </c>
      <c r="D67" s="265">
        <v>98.58</v>
      </c>
      <c r="E67" s="266">
        <f t="shared" si="20"/>
        <v>1.015228426395939E-2</v>
      </c>
      <c r="F67" s="267">
        <f t="shared" si="21"/>
        <v>-2.1575268677358067E-2</v>
      </c>
      <c r="G67" s="267">
        <f t="shared" si="22"/>
        <v>1.099687943924618E-2</v>
      </c>
      <c r="H67" s="267">
        <f t="shared" si="23"/>
        <v>0.17457004916402893</v>
      </c>
    </row>
    <row r="68" spans="3:8">
      <c r="C68" s="193">
        <v>45609</v>
      </c>
      <c r="D68" s="265">
        <v>98.5</v>
      </c>
      <c r="E68" s="266">
        <f t="shared" si="20"/>
        <v>1.0166734444896299E-2</v>
      </c>
      <c r="F68" s="267">
        <f t="shared" si="21"/>
        <v>-8.1185309918849376E-4</v>
      </c>
      <c r="G68" s="267">
        <f t="shared" si="22"/>
        <v>1.1490861457388918E-2</v>
      </c>
      <c r="H68" s="267">
        <f t="shared" si="23"/>
        <v>0.18241177059688982</v>
      </c>
    </row>
    <row r="69" spans="3:8">
      <c r="C69" s="193">
        <v>45610</v>
      </c>
      <c r="D69" s="265">
        <v>98.36</v>
      </c>
      <c r="E69" s="266">
        <f t="shared" si="20"/>
        <v>1.0383137784238397E-2</v>
      </c>
      <c r="F69" s="267">
        <f t="shared" si="21"/>
        <v>-1.4223308300514341E-3</v>
      </c>
      <c r="G69" s="267">
        <f t="shared" si="22"/>
        <v>1.1483264427060826E-2</v>
      </c>
      <c r="H69" s="267">
        <f t="shared" si="23"/>
        <v>0.18229117147918533</v>
      </c>
    </row>
    <row r="70" spans="3:8">
      <c r="C70" s="193">
        <v>45611</v>
      </c>
      <c r="D70" s="265">
        <v>96.31</v>
      </c>
      <c r="E70" s="266">
        <v>0</v>
      </c>
      <c r="F70" s="267">
        <f t="shared" si="21"/>
        <v>-2.1062061775218882E-2</v>
      </c>
      <c r="G70" s="267">
        <f t="shared" si="22"/>
        <v>1.0520244686020891E-2</v>
      </c>
      <c r="H70" s="267">
        <f t="shared" si="23"/>
        <v>0.16700370702456038</v>
      </c>
    </row>
  </sheetData>
  <mergeCells count="3">
    <mergeCell ref="B4:W6"/>
    <mergeCell ref="B20:W22"/>
    <mergeCell ref="B37:J37"/>
  </mergeCell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6CC37-FF56-4C31-BB5D-80A0B5F3545D}">
  <dimension ref="B1:AC70"/>
  <sheetViews>
    <sheetView showGridLines="0" zoomScale="70" zoomScaleNormal="98" workbookViewId="0">
      <selection activeCell="H39" sqref="H39"/>
    </sheetView>
  </sheetViews>
  <sheetFormatPr defaultColWidth="8.85546875" defaultRowHeight="13.9"/>
  <cols>
    <col min="1" max="1" width="4.140625" style="9" customWidth="1"/>
    <col min="2" max="2" width="32.5703125" style="9" bestFit="1" customWidth="1"/>
    <col min="3" max="3" width="30" style="9" bestFit="1" customWidth="1"/>
    <col min="4" max="4" width="13.42578125" style="9" bestFit="1" customWidth="1"/>
    <col min="5" max="5" width="14.7109375" style="9" bestFit="1" customWidth="1"/>
    <col min="6" max="6" width="13.140625" style="9" bestFit="1" customWidth="1"/>
    <col min="7" max="9" width="8.85546875" style="9"/>
    <col min="10" max="10" width="16.5703125" style="9" bestFit="1" customWidth="1"/>
    <col min="11" max="11" width="18.28515625" style="9" customWidth="1"/>
    <col min="12" max="12" width="13.7109375" style="9" customWidth="1"/>
    <col min="13" max="13" width="24.7109375" style="9" customWidth="1"/>
    <col min="14" max="15" width="8.85546875" style="9"/>
    <col min="16" max="16" width="16.5703125" style="9" bestFit="1" customWidth="1"/>
    <col min="17" max="17" width="23.7109375" style="9" customWidth="1"/>
    <col min="18" max="18" width="17" style="9" customWidth="1"/>
    <col min="19" max="19" width="22.5703125" style="9" customWidth="1"/>
    <col min="20" max="21" width="15.28515625" style="9" bestFit="1" customWidth="1"/>
    <col min="22" max="22" width="15.28515625" style="9" customWidth="1"/>
    <col min="23" max="23" width="15.28515625" style="9" bestFit="1" customWidth="1"/>
    <col min="24" max="24" width="16.5703125" style="9" bestFit="1" customWidth="1"/>
    <col min="25" max="25" width="15.28515625" style="9" bestFit="1" customWidth="1"/>
    <col min="26" max="26" width="19.42578125" style="9" bestFit="1" customWidth="1"/>
    <col min="27" max="27" width="15.28515625" style="9" customWidth="1"/>
    <col min="28" max="28" width="32.5703125" style="9" bestFit="1" customWidth="1"/>
    <col min="29" max="29" width="20.42578125" style="9" bestFit="1" customWidth="1"/>
    <col min="30" max="16384" width="8.85546875" style="9"/>
  </cols>
  <sheetData>
    <row r="1" spans="2:29">
      <c r="F1" s="9" t="s">
        <v>249</v>
      </c>
    </row>
    <row r="2" spans="2:29">
      <c r="F2" s="9" t="s">
        <v>250</v>
      </c>
    </row>
    <row r="4" spans="2:29" ht="13.9" customHeight="1">
      <c r="B4" s="437" t="s">
        <v>222</v>
      </c>
      <c r="C4" s="437"/>
      <c r="D4" s="437"/>
      <c r="E4" s="437"/>
      <c r="F4" s="437"/>
      <c r="G4" s="437"/>
      <c r="H4" s="437"/>
      <c r="I4" s="437"/>
      <c r="J4" s="437"/>
      <c r="K4" s="437"/>
      <c r="L4" s="437"/>
      <c r="M4" s="437"/>
      <c r="N4" s="437"/>
      <c r="O4" s="437"/>
      <c r="P4" s="437"/>
      <c r="Q4" s="437"/>
      <c r="R4" s="437"/>
      <c r="S4" s="437"/>
      <c r="T4" s="437"/>
      <c r="U4" s="437"/>
      <c r="V4" s="437"/>
      <c r="W4" s="437"/>
      <c r="X4" s="437"/>
      <c r="Y4" s="437"/>
      <c r="Z4" s="437"/>
      <c r="AA4" s="437"/>
      <c r="AB4" s="437"/>
      <c r="AC4" s="437"/>
    </row>
    <row r="5" spans="2:29" ht="13.9" customHeight="1">
      <c r="B5" s="437"/>
      <c r="C5" s="437"/>
      <c r="D5" s="437"/>
      <c r="E5" s="437"/>
      <c r="F5" s="437"/>
      <c r="G5" s="437"/>
      <c r="H5" s="437"/>
      <c r="I5" s="437"/>
      <c r="J5" s="437"/>
      <c r="K5" s="437"/>
      <c r="L5" s="437"/>
      <c r="M5" s="437"/>
      <c r="N5" s="437"/>
      <c r="O5" s="437"/>
      <c r="P5" s="437"/>
      <c r="Q5" s="437"/>
      <c r="R5" s="437"/>
      <c r="S5" s="437"/>
      <c r="T5" s="437"/>
      <c r="U5" s="437"/>
      <c r="V5" s="437"/>
      <c r="W5" s="437"/>
      <c r="X5" s="437"/>
      <c r="Y5" s="437"/>
      <c r="Z5" s="437"/>
      <c r="AA5" s="437"/>
      <c r="AB5" s="437"/>
      <c r="AC5" s="437"/>
    </row>
    <row r="6" spans="2:29" ht="13.9" customHeight="1">
      <c r="B6" s="437"/>
      <c r="C6" s="437"/>
      <c r="D6" s="437"/>
      <c r="E6" s="437"/>
      <c r="F6" s="437"/>
      <c r="G6" s="437"/>
      <c r="H6" s="437"/>
      <c r="I6" s="437"/>
      <c r="J6" s="437"/>
      <c r="K6" s="437"/>
      <c r="L6" s="437"/>
      <c r="M6" s="437"/>
      <c r="N6" s="437"/>
      <c r="O6" s="437"/>
      <c r="P6" s="437"/>
      <c r="Q6" s="437"/>
      <c r="R6" s="437"/>
      <c r="S6" s="437"/>
      <c r="T6" s="437"/>
      <c r="U6" s="437"/>
      <c r="V6" s="437"/>
      <c r="W6" s="437"/>
      <c r="X6" s="437"/>
      <c r="Y6" s="437"/>
      <c r="Z6" s="437"/>
      <c r="AA6" s="437"/>
      <c r="AB6" s="437"/>
      <c r="AC6" s="437"/>
    </row>
    <row r="7" spans="2:29" ht="41.45">
      <c r="B7" s="181" t="s">
        <v>223</v>
      </c>
      <c r="C7" s="181" t="s">
        <v>38</v>
      </c>
      <c r="D7" s="182" t="s">
        <v>33</v>
      </c>
      <c r="E7" s="182" t="s">
        <v>224</v>
      </c>
      <c r="F7" s="182" t="s">
        <v>4</v>
      </c>
      <c r="G7" s="182" t="s">
        <v>225</v>
      </c>
      <c r="H7" s="181" t="s">
        <v>6</v>
      </c>
      <c r="I7" s="181" t="s">
        <v>7</v>
      </c>
      <c r="J7" s="182" t="s">
        <v>210</v>
      </c>
      <c r="K7" s="182" t="s">
        <v>211</v>
      </c>
      <c r="L7" s="182" t="s">
        <v>220</v>
      </c>
      <c r="M7" s="183" t="s">
        <v>11</v>
      </c>
      <c r="N7" s="181" t="s">
        <v>213</v>
      </c>
      <c r="O7" s="181" t="s">
        <v>214</v>
      </c>
      <c r="P7" s="181" t="s">
        <v>40</v>
      </c>
      <c r="Q7" s="211" t="s">
        <v>215</v>
      </c>
      <c r="R7" s="182" t="s">
        <v>216</v>
      </c>
      <c r="S7" s="182" t="s">
        <v>217</v>
      </c>
      <c r="T7" s="184" t="s">
        <v>218</v>
      </c>
      <c r="U7" s="184" t="s">
        <v>229</v>
      </c>
      <c r="V7" s="184" t="s">
        <v>251</v>
      </c>
      <c r="W7" s="184" t="s">
        <v>252</v>
      </c>
      <c r="X7" s="184" t="s">
        <v>230</v>
      </c>
      <c r="Y7" s="184" t="s">
        <v>253</v>
      </c>
      <c r="Z7" s="184" t="s">
        <v>254</v>
      </c>
      <c r="AA7" s="184" t="s">
        <v>235</v>
      </c>
      <c r="AB7" s="184" t="s">
        <v>255</v>
      </c>
      <c r="AC7" s="184" t="s">
        <v>256</v>
      </c>
    </row>
    <row r="8" spans="2:29" ht="14.45">
      <c r="B8" s="207">
        <f>'Bloomberg Raw Data- all volumes'!A87</f>
        <v>45601</v>
      </c>
      <c r="C8" s="58" t="str">
        <f>'Bloomberg Raw Data- all volumes'!C87</f>
        <v>MRK 11/15/24 C102</v>
      </c>
      <c r="D8" s="56">
        <f>'Bloomberg Raw Data- all volumes'!I87</f>
        <v>101.65</v>
      </c>
      <c r="E8" s="75">
        <f>LN(D8/D61)</f>
        <v>-2.161950527619365E-3</v>
      </c>
      <c r="F8" s="208">
        <f>'Bloomberg Raw Data- all volumes'!B87</f>
        <v>102</v>
      </c>
      <c r="G8" s="56">
        <f>'Bloomberg Raw Data- all volumes'!F87</f>
        <v>1.6900005340576201</v>
      </c>
      <c r="H8" s="56">
        <f>'Bloomberg Raw Data- all volumes'!D87</f>
        <v>1.5999994277954099</v>
      </c>
      <c r="I8" s="56">
        <f>'Bloomberg Raw Data- all volumes'!E87</f>
        <v>1.65999984741211</v>
      </c>
      <c r="J8" s="71">
        <f>'Q1-(Without Zero Volume)'!J4</f>
        <v>4.6974999999999996E-2</v>
      </c>
      <c r="K8" s="72">
        <v>3.1099999999999999E-2</v>
      </c>
      <c r="L8" s="73">
        <f>(15-5)/252</f>
        <v>3.968253968253968E-2</v>
      </c>
      <c r="M8" s="74">
        <f>(H8+I8)/2</f>
        <v>1.62999963760376</v>
      </c>
      <c r="N8" s="75">
        <f t="shared" ref="N8:N16" si="0">(LN(D8/F8) + ((J8+ (Q8^2) / 2)*L8) / (Q8*SQRT(L8)))</f>
        <v>6.1822632992255162E-2</v>
      </c>
      <c r="O8" s="75">
        <f t="shared" ref="O8:O16" si="1" xml:space="preserve"> N8 - Q8*SQRT(L8)</f>
        <v>1.9599235951446282E-2</v>
      </c>
      <c r="P8" s="75">
        <f>'Bloomberg Raw Data- all volumes'!H87</f>
        <v>41</v>
      </c>
      <c r="Q8" s="76">
        <v>0.21195977093113177</v>
      </c>
      <c r="R8" s="77">
        <f t="shared" ref="R8:R16" si="2">D8*_xlfn.NORM.S.DIST(N8,TRUE) - F8*EXP(-J8*L8)*_xlfn.NORM.S.DIST(O8,TRUE)</f>
        <v>1.6294469960225157</v>
      </c>
      <c r="S8" s="78">
        <f>'Bloomberg Raw Data- all volumes'!G87</f>
        <v>0.25288133621215797</v>
      </c>
      <c r="T8" s="79">
        <f>M8-R8</f>
        <v>5.5264158124423979E-4</v>
      </c>
      <c r="U8" s="185">
        <f>_xlfn.NORM.S.DIST(N8,TRUE)</f>
        <v>0.52464796028059713</v>
      </c>
      <c r="V8" s="185">
        <v>0</v>
      </c>
      <c r="W8" s="209">
        <f>D8-D61</f>
        <v>-0.21999999999999886</v>
      </c>
      <c r="X8" s="185">
        <f>U8*P8</f>
        <v>21.510566371504481</v>
      </c>
      <c r="Y8" s="185">
        <f>X8*W8</f>
        <v>-4.7323246017309613</v>
      </c>
      <c r="Z8" s="185">
        <f>Y8</f>
        <v>-4.7323246017309613</v>
      </c>
      <c r="AA8" s="185"/>
      <c r="AB8" s="209">
        <f>F8-D8</f>
        <v>0.34999999999999432</v>
      </c>
      <c r="AC8" s="209">
        <f>AB8+Y8</f>
        <v>-4.3823246017309669</v>
      </c>
    </row>
    <row r="9" spans="2:29" ht="14.45">
      <c r="B9" s="207">
        <f>'Bloomberg Raw Data- all volumes'!A88</f>
        <v>45602</v>
      </c>
      <c r="C9" s="58" t="str">
        <f>'Bloomberg Raw Data- all volumes'!C88</f>
        <v>MRK 11/15/24 C102</v>
      </c>
      <c r="D9" s="56">
        <f>'Bloomberg Raw Data- all volumes'!I88</f>
        <v>100.73</v>
      </c>
      <c r="E9" s="75">
        <f>LN(D9/D62)</f>
        <v>-9.0918701197659074E-3</v>
      </c>
      <c r="F9" s="208">
        <f>'Bloomberg Raw Data- all volumes'!B88</f>
        <v>102</v>
      </c>
      <c r="G9" s="56">
        <f>'Bloomberg Raw Data- all volumes'!F88</f>
        <v>0.87000000476837203</v>
      </c>
      <c r="H9" s="56">
        <f>'Bloomberg Raw Data- all volumes'!D88</f>
        <v>0.730000019073486</v>
      </c>
      <c r="I9" s="56">
        <f>'Bloomberg Raw Data- all volumes'!E88</f>
        <v>0.91000002622604403</v>
      </c>
      <c r="J9" s="71">
        <f>'Q1-(Without Zero Volume)'!J5</f>
        <v>4.6974999999999996E-2</v>
      </c>
      <c r="K9" s="72">
        <v>3.1099999999999999E-2</v>
      </c>
      <c r="L9" s="73">
        <f>(15-6)/252</f>
        <v>3.5714285714285712E-2</v>
      </c>
      <c r="M9" s="74">
        <f t="shared" ref="M9:M16" si="3">(H9+I9)/2</f>
        <v>0.82000002264976501</v>
      </c>
      <c r="N9" s="75">
        <f t="shared" si="0"/>
        <v>5.3527954410095349E-2</v>
      </c>
      <c r="O9" s="75">
        <f t="shared" si="1"/>
        <v>1.9222754549741039E-2</v>
      </c>
      <c r="P9" s="75">
        <f>'Bloomberg Raw Data- all volumes'!H88</f>
        <v>667</v>
      </c>
      <c r="Q9" s="76">
        <v>0.18152605501373045</v>
      </c>
      <c r="R9" s="77">
        <f t="shared" si="2"/>
        <v>0.81965315842647612</v>
      </c>
      <c r="S9" s="78">
        <f>'Bloomberg Raw Data- all volumes'!G88</f>
        <v>0.179776229858398</v>
      </c>
      <c r="T9" s="79">
        <f t="shared" ref="T9:T16" si="4">M9-R9</f>
        <v>3.4686422328888966E-4</v>
      </c>
      <c r="U9" s="185">
        <f t="shared" ref="U9:U16" si="5">_xlfn.NORM.S.DIST(N9,TRUE)</f>
        <v>0.52134437091354846</v>
      </c>
      <c r="V9" s="185">
        <f>U9-U8</f>
        <v>-3.3035893670486649E-3</v>
      </c>
      <c r="W9" s="209">
        <f>D9-D8</f>
        <v>-0.92000000000000171</v>
      </c>
      <c r="X9" s="185">
        <f>U9*P9</f>
        <v>347.73669539933684</v>
      </c>
      <c r="Y9" s="185">
        <f>X9*W9</f>
        <v>-319.91775976739046</v>
      </c>
      <c r="Z9" s="185">
        <f>Y9+Z8</f>
        <v>-324.65008436912143</v>
      </c>
      <c r="AA9" s="185"/>
      <c r="AB9" s="209">
        <f>F9-D9</f>
        <v>1.269999999999996</v>
      </c>
      <c r="AC9" s="209">
        <f t="shared" ref="AC9:AC16" si="6">AB9+Y9</f>
        <v>-318.64775976739048</v>
      </c>
    </row>
    <row r="10" spans="2:29" ht="14.45">
      <c r="B10" s="207">
        <f>'Bloomberg Raw Data- all volumes'!A89</f>
        <v>45603</v>
      </c>
      <c r="C10" s="58" t="str">
        <f>'Bloomberg Raw Data- all volumes'!C89</f>
        <v>MRK 11/15/24 C102</v>
      </c>
      <c r="D10" s="56">
        <f>'Bloomberg Raw Data- all volumes'!I89</f>
        <v>101.17</v>
      </c>
      <c r="E10" s="75">
        <f>LN(D10/D63)</f>
        <v>-8.612963355278809E-2</v>
      </c>
      <c r="F10" s="208">
        <f>'Bloomberg Raw Data- all volumes'!B89</f>
        <v>102</v>
      </c>
      <c r="G10" s="56">
        <f>'Bloomberg Raw Data- all volumes'!F89</f>
        <v>0.93000000715255704</v>
      </c>
      <c r="H10" s="56">
        <f>'Bloomberg Raw Data- all volumes'!D89</f>
        <v>0.87999999523162797</v>
      </c>
      <c r="I10" s="56">
        <f>'Bloomberg Raw Data- all volumes'!E89</f>
        <v>1.5</v>
      </c>
      <c r="J10" s="71">
        <f>'Q1-(Without Zero Volume)'!J6</f>
        <v>4.6974999999999996E-2</v>
      </c>
      <c r="K10" s="72">
        <v>3.1099999999999999E-2</v>
      </c>
      <c r="L10" s="73">
        <f>(15-7)/252</f>
        <v>3.1746031746031744E-2</v>
      </c>
      <c r="M10" s="74">
        <f t="shared" si="3"/>
        <v>1.189999997615814</v>
      </c>
      <c r="N10" s="75">
        <f t="shared" si="0"/>
        <v>5.0082376795450356E-2</v>
      </c>
      <c r="O10" s="75">
        <f t="shared" si="1"/>
        <v>1.2099212479658158E-2</v>
      </c>
      <c r="P10" s="75">
        <f>'Bloomberg Raw Data- all volumes'!H89</f>
        <v>697</v>
      </c>
      <c r="Q10" s="76">
        <v>0.21317998100284838</v>
      </c>
      <c r="R10" s="77">
        <f t="shared" si="2"/>
        <v>1.189930862474796</v>
      </c>
      <c r="S10" s="78">
        <f>'Bloomberg Raw Data- all volumes'!G89</f>
        <v>0.23807672500610402</v>
      </c>
      <c r="T10" s="79">
        <f t="shared" si="4"/>
        <v>6.9135141018028534E-5</v>
      </c>
      <c r="U10" s="185">
        <f t="shared" si="5"/>
        <v>0.51997162830354982</v>
      </c>
      <c r="V10" s="185">
        <f t="shared" ref="V10:V16" si="7">U10-U9</f>
        <v>-1.3727426099986451E-3</v>
      </c>
      <c r="W10" s="209">
        <f t="shared" ref="W10:W16" si="8">D10-D9</f>
        <v>0.43999999999999773</v>
      </c>
      <c r="X10" s="185">
        <f t="shared" ref="X10:X16" si="9">U10*P10</f>
        <v>362.42022492757422</v>
      </c>
      <c r="Y10" s="185">
        <f t="shared" ref="Y10:Y16" si="10">X10*W10</f>
        <v>159.46489896813185</v>
      </c>
      <c r="Z10" s="185">
        <f>Z9+Y10</f>
        <v>-165.18518540098958</v>
      </c>
      <c r="AA10" s="185"/>
      <c r="AB10" s="209">
        <f>F10-D10</f>
        <v>0.82999999999999829</v>
      </c>
      <c r="AC10" s="209">
        <f t="shared" si="6"/>
        <v>160.29489896813186</v>
      </c>
    </row>
    <row r="11" spans="2:29" ht="14.45">
      <c r="B11" s="207">
        <f>'Bloomberg Raw Data- all volumes'!A90</f>
        <v>45604</v>
      </c>
      <c r="C11" s="58" t="str">
        <f>'Bloomberg Raw Data- all volumes'!C90</f>
        <v>MRK 11/15/24 C102</v>
      </c>
      <c r="D11" s="56">
        <f>'Bloomberg Raw Data- all volumes'!I90</f>
        <v>102.92</v>
      </c>
      <c r="E11" s="75">
        <f>LN(D11/D64)</f>
        <v>-6.1058902574337472E-2</v>
      </c>
      <c r="F11" s="208">
        <f>'Bloomberg Raw Data- all volumes'!B90</f>
        <v>102</v>
      </c>
      <c r="G11" s="56">
        <f>'Bloomberg Raw Data- all volumes'!F90</f>
        <v>1.69999980926514</v>
      </c>
      <c r="H11" s="56">
        <f>'Bloomberg Raw Data- all volumes'!D90</f>
        <v>1.57999992370605</v>
      </c>
      <c r="I11" s="56">
        <f>'Bloomberg Raw Data- all volumes'!E90</f>
        <v>2.1400003433227499</v>
      </c>
      <c r="J11" s="71">
        <f>'Q1-(Without Zero Volume)'!J7</f>
        <v>4.6974999999999996E-2</v>
      </c>
      <c r="K11" s="72">
        <v>3.1099999999999999E-2</v>
      </c>
      <c r="L11" s="73">
        <f>(15-8)/252</f>
        <v>2.7777777777777776E-2</v>
      </c>
      <c r="M11" s="74">
        <f t="shared" si="3"/>
        <v>1.8600001335143999</v>
      </c>
      <c r="N11" s="75">
        <f t="shared" si="0"/>
        <v>6.5618742529009275E-2</v>
      </c>
      <c r="O11" s="75">
        <f t="shared" si="1"/>
        <v>3.343972372011874E-2</v>
      </c>
      <c r="P11" s="75">
        <f>'Bloomberg Raw Data- all volumes'!H90</f>
        <v>796</v>
      </c>
      <c r="Q11" s="80">
        <v>0.19307411285334322</v>
      </c>
      <c r="R11" s="77">
        <f t="shared" si="2"/>
        <v>1.8601160095963181</v>
      </c>
      <c r="S11" s="78">
        <f>'Bloomberg Raw Data- all volumes'!G90</f>
        <v>0.22628730773925798</v>
      </c>
      <c r="T11" s="79">
        <f t="shared" si="4"/>
        <v>-1.158760819182092E-4</v>
      </c>
      <c r="U11" s="185">
        <f t="shared" si="5"/>
        <v>0.52615931655391379</v>
      </c>
      <c r="V11" s="185">
        <f t="shared" si="7"/>
        <v>6.1876882503639763E-3</v>
      </c>
      <c r="W11" s="209">
        <f t="shared" si="8"/>
        <v>1.75</v>
      </c>
      <c r="X11" s="185">
        <f t="shared" si="9"/>
        <v>418.82281597691536</v>
      </c>
      <c r="Y11" s="185">
        <f t="shared" si="10"/>
        <v>732.93992795960185</v>
      </c>
      <c r="Z11" s="185">
        <f>Z10+Y11</f>
        <v>567.75474255861229</v>
      </c>
      <c r="AA11" s="185"/>
      <c r="AB11" s="209">
        <f t="shared" ref="AB11:AB16" si="11">F11-D11</f>
        <v>-0.92000000000000171</v>
      </c>
      <c r="AC11" s="209">
        <f t="shared" si="6"/>
        <v>732.01992795960189</v>
      </c>
    </row>
    <row r="12" spans="2:29" ht="14.45">
      <c r="B12" s="207">
        <f>'Bloomberg Raw Data- all volumes'!A93</f>
        <v>45607</v>
      </c>
      <c r="C12" s="58" t="str">
        <f>'Bloomberg Raw Data- all volumes'!C93</f>
        <v>MRK 11/15/24 C102</v>
      </c>
      <c r="D12" s="56">
        <f>'Bloomberg Raw Data- all volumes'!I93</f>
        <v>100.73</v>
      </c>
      <c r="E12" s="75">
        <f>LN(D12/D67)</f>
        <v>-0.10184994305185577</v>
      </c>
      <c r="F12" s="208">
        <f>'Bloomberg Raw Data- all volumes'!B93</f>
        <v>102</v>
      </c>
      <c r="G12" s="56">
        <f>'Bloomberg Raw Data- all volumes'!F93</f>
        <v>0.41000002622604398</v>
      </c>
      <c r="H12" s="56">
        <f>'Bloomberg Raw Data- all volumes'!D93</f>
        <v>0.34000003337860102</v>
      </c>
      <c r="I12" s="56">
        <f>'Bloomberg Raw Data- all volumes'!E93</f>
        <v>0.56999999284744296</v>
      </c>
      <c r="J12" s="71">
        <f>'Q1-(Without Zero Volume)'!J10</f>
        <v>4.6974999999999996E-2</v>
      </c>
      <c r="K12" s="72">
        <v>3.1099999999999999E-2</v>
      </c>
      <c r="L12" s="73">
        <f>(15-11)/252</f>
        <v>1.5873015873015872E-2</v>
      </c>
      <c r="M12" s="74">
        <f t="shared" si="3"/>
        <v>0.45500001311302196</v>
      </c>
      <c r="N12" s="75">
        <f t="shared" si="0"/>
        <v>2.9021556065884389E-2</v>
      </c>
      <c r="O12" s="75">
        <f t="shared" si="1"/>
        <v>2.8067876492590821E-3</v>
      </c>
      <c r="P12" s="75">
        <f>'Bloomberg Raw Data- all volumes'!H93</f>
        <v>715</v>
      </c>
      <c r="Q12" s="80">
        <v>0.20807327372262308</v>
      </c>
      <c r="R12" s="77">
        <f t="shared" si="2"/>
        <v>0.45496513882974199</v>
      </c>
      <c r="S12" s="78">
        <f>'Bloomberg Raw Data- all volumes'!G91</f>
        <v>0.22628730773925798</v>
      </c>
      <c r="T12" s="79">
        <f t="shared" si="4"/>
        <v>3.4874283279973106E-5</v>
      </c>
      <c r="U12" s="185">
        <f t="shared" si="5"/>
        <v>0.51157630071032112</v>
      </c>
      <c r="V12" s="185">
        <f t="shared" si="7"/>
        <v>-1.4583015843592673E-2</v>
      </c>
      <c r="W12" s="209">
        <f t="shared" si="8"/>
        <v>-2.1899999999999977</v>
      </c>
      <c r="X12" s="185">
        <f t="shared" si="9"/>
        <v>365.7770550078796</v>
      </c>
      <c r="Y12" s="185">
        <f t="shared" si="10"/>
        <v>-801.05175046725549</v>
      </c>
      <c r="Z12" s="185">
        <f t="shared" ref="Z12:Z16" si="12">Z11+Y12</f>
        <v>-233.2970079086432</v>
      </c>
      <c r="AA12" s="185"/>
      <c r="AB12" s="209">
        <f t="shared" si="11"/>
        <v>1.269999999999996</v>
      </c>
      <c r="AC12" s="209">
        <f t="shared" si="6"/>
        <v>-799.78175046725551</v>
      </c>
    </row>
    <row r="13" spans="2:29" ht="14.45">
      <c r="B13" s="207">
        <f>'Bloomberg Raw Data- all volumes'!A94</f>
        <v>45608</v>
      </c>
      <c r="C13" s="58" t="str">
        <f>'Bloomberg Raw Data- all volumes'!C94</f>
        <v>MRK 11/15/24 C102</v>
      </c>
      <c r="D13" s="56">
        <f>'Bloomberg Raw Data- all volumes'!I94</f>
        <v>98.58</v>
      </c>
      <c r="E13" s="75">
        <f>LN(D13/D68)</f>
        <v>-0.11342287557866687</v>
      </c>
      <c r="F13" s="208">
        <f>'Bloomberg Raw Data- all volumes'!B94</f>
        <v>102</v>
      </c>
      <c r="G13" s="56">
        <f>'Bloomberg Raw Data- all volumes'!F94</f>
        <v>7.9999983310699505E-2</v>
      </c>
      <c r="H13" s="56">
        <f>'Bloomberg Raw Data- all volumes'!D94</f>
        <v>7.9999983310699505E-2</v>
      </c>
      <c r="I13" s="56">
        <f>'Bloomberg Raw Data- all volumes'!E94</f>
        <v>0.110000014305115</v>
      </c>
      <c r="J13" s="71">
        <f>'Q1-(Without Zero Volume)'!J11</f>
        <v>4.6974999999999996E-2</v>
      </c>
      <c r="K13" s="72">
        <v>3.1099999999999999E-2</v>
      </c>
      <c r="L13" s="73">
        <f>(15-12)/252</f>
        <v>1.1904761904761904E-2</v>
      </c>
      <c r="M13" s="74">
        <f t="shared" si="3"/>
        <v>9.4999998807907243E-2</v>
      </c>
      <c r="N13" s="75">
        <f t="shared" si="0"/>
        <v>5.4510033947492015E-4</v>
      </c>
      <c r="O13" s="75">
        <f t="shared" si="1"/>
        <v>-4.3167321302561887E-2</v>
      </c>
      <c r="P13" s="75">
        <f>'Bloomberg Raw Data- all volumes'!H94</f>
        <v>997</v>
      </c>
      <c r="Q13" s="80">
        <v>0.40063096196891906</v>
      </c>
      <c r="R13" s="77">
        <f t="shared" si="2"/>
        <v>9.4992494736352739E-2</v>
      </c>
      <c r="S13" s="78">
        <f>'Bloomberg Raw Data- all volumes'!G92</f>
        <v>0.22628730773925798</v>
      </c>
      <c r="T13" s="79">
        <f t="shared" si="4"/>
        <v>7.5040715545038328E-6</v>
      </c>
      <c r="U13" s="185">
        <f t="shared" si="5"/>
        <v>0.50021746356170838</v>
      </c>
      <c r="V13" s="185">
        <f t="shared" si="7"/>
        <v>-1.1358837148612744E-2</v>
      </c>
      <c r="W13" s="209">
        <f t="shared" si="8"/>
        <v>-2.1500000000000057</v>
      </c>
      <c r="X13" s="185">
        <f t="shared" si="9"/>
        <v>498.71681117102327</v>
      </c>
      <c r="Y13" s="185">
        <f t="shared" si="10"/>
        <v>-1072.2411440177029</v>
      </c>
      <c r="Z13" s="185">
        <f t="shared" si="12"/>
        <v>-1305.538151926346</v>
      </c>
      <c r="AA13" s="185"/>
      <c r="AB13" s="209">
        <f t="shared" si="11"/>
        <v>3.4200000000000017</v>
      </c>
      <c r="AC13" s="209">
        <f t="shared" si="6"/>
        <v>-1068.8211440177029</v>
      </c>
    </row>
    <row r="14" spans="2:29" ht="14.45">
      <c r="B14" s="207">
        <f>'Bloomberg Raw Data- all volumes'!A95</f>
        <v>45609</v>
      </c>
      <c r="C14" s="58" t="str">
        <f>'Bloomberg Raw Data- all volumes'!C95</f>
        <v>MRK 11/15/24 C102</v>
      </c>
      <c r="D14" s="56">
        <f>'Bloomberg Raw Data- all volumes'!I95</f>
        <v>98.5</v>
      </c>
      <c r="E14" s="75">
        <f>LN(D14/D69)</f>
        <v>-0.10814850377723755</v>
      </c>
      <c r="F14" s="208">
        <f>'Bloomberg Raw Data- all volumes'!B95</f>
        <v>102</v>
      </c>
      <c r="G14" s="56">
        <f>'Bloomberg Raw Data- all volumes'!F95</f>
        <v>5.0000000745058101E-2</v>
      </c>
      <c r="H14" s="56">
        <f>'Bloomberg Raw Data- all volumes'!D95</f>
        <v>3.0000001192092899E-2</v>
      </c>
      <c r="I14" s="56">
        <f>'Bloomberg Raw Data- all volumes'!E95</f>
        <v>5.0000000745058101E-2</v>
      </c>
      <c r="J14" s="71">
        <f>'Q1-(Without Zero Volume)'!J12</f>
        <v>4.6974999999999996E-2</v>
      </c>
      <c r="K14" s="72">
        <v>3.1099999999999999E-2</v>
      </c>
      <c r="L14" s="73">
        <f>(15-13)/252</f>
        <v>7.9365079365079361E-3</v>
      </c>
      <c r="M14" s="74">
        <f t="shared" si="3"/>
        <v>4.0000000968575498E-2</v>
      </c>
      <c r="N14" s="75">
        <f t="shared" si="0"/>
        <v>-4.6290502130949436E-3</v>
      </c>
      <c r="O14" s="75">
        <f t="shared" si="1"/>
        <v>-4.8018954347291823E-2</v>
      </c>
      <c r="P14" s="75">
        <f>'Bloomberg Raw Data- all volumes'!H95</f>
        <v>174</v>
      </c>
      <c r="Q14" s="80">
        <v>0.48705046594539275</v>
      </c>
      <c r="R14" s="77">
        <f t="shared" si="2"/>
        <v>3.9622461222485583E-2</v>
      </c>
      <c r="S14" s="78">
        <f>'Bloomberg Raw Data- all volumes'!G93</f>
        <v>0.19944824218750001</v>
      </c>
      <c r="T14" s="79">
        <f t="shared" si="4"/>
        <v>3.775397460899152E-4</v>
      </c>
      <c r="U14" s="185">
        <f t="shared" si="5"/>
        <v>0.49815328274717297</v>
      </c>
      <c r="V14" s="185">
        <f t="shared" si="7"/>
        <v>-2.0641808145354101E-3</v>
      </c>
      <c r="W14" s="209">
        <f t="shared" si="8"/>
        <v>-7.9999999999998295E-2</v>
      </c>
      <c r="X14" s="185">
        <f t="shared" si="9"/>
        <v>86.67867119800809</v>
      </c>
      <c r="Y14" s="185">
        <f t="shared" si="10"/>
        <v>-6.9342936958404993</v>
      </c>
      <c r="Z14" s="185">
        <f t="shared" si="12"/>
        <v>-1312.4724456221866</v>
      </c>
      <c r="AA14" s="185"/>
      <c r="AB14" s="209">
        <f t="shared" si="11"/>
        <v>3.5</v>
      </c>
      <c r="AC14" s="209">
        <f t="shared" si="6"/>
        <v>-3.4342936958404993</v>
      </c>
    </row>
    <row r="15" spans="2:29" ht="14.45">
      <c r="B15" s="207">
        <f>'Bloomberg Raw Data- all volumes'!A96</f>
        <v>45610</v>
      </c>
      <c r="C15" s="58" t="str">
        <f>'Bloomberg Raw Data- all volumes'!C96</f>
        <v>MRK 11/15/24 C102</v>
      </c>
      <c r="D15" s="56">
        <f>'Bloomberg Raw Data- all volumes'!I96</f>
        <v>98.36</v>
      </c>
      <c r="E15" s="75">
        <f>LN(D15/D70)</f>
        <v>-9.9957576779171942E-2</v>
      </c>
      <c r="F15" s="208">
        <f>'Bloomberg Raw Data- all volumes'!B96</f>
        <v>102</v>
      </c>
      <c r="G15" s="56">
        <f>'Bloomberg Raw Data- all volumes'!F96</f>
        <v>1.9999999552965199E-2</v>
      </c>
      <c r="H15" s="56">
        <f>'Bloomberg Raw Data- all volumes'!D96</f>
        <v>9.9999997764825804E-3</v>
      </c>
      <c r="I15" s="56">
        <f>'Bloomberg Raw Data- all volumes'!E96</f>
        <v>3.9999999105930301E-2</v>
      </c>
      <c r="J15" s="71">
        <f>'Q1-(Without Zero Volume)'!J13</f>
        <v>4.6974999999999996E-2</v>
      </c>
      <c r="K15" s="72">
        <v>3.1099999999999999E-2</v>
      </c>
      <c r="L15" s="73">
        <f>(15-14)/252</f>
        <v>3.968253968253968E-3</v>
      </c>
      <c r="M15" s="74">
        <f t="shared" si="3"/>
        <v>2.4999999441206441E-2</v>
      </c>
      <c r="N15" s="75">
        <f t="shared" si="0"/>
        <v>-9.7797626737941151E-3</v>
      </c>
      <c r="O15" s="75">
        <f t="shared" si="1"/>
        <v>-5.4574663603049529E-2</v>
      </c>
      <c r="P15" s="75">
        <f>'Bloomberg Raw Data- all volumes'!H96</f>
        <v>779</v>
      </c>
      <c r="Q15" s="80">
        <v>0.71109700717551572</v>
      </c>
      <c r="R15" s="77">
        <f t="shared" si="2"/>
        <v>2.4997295768294236E-2</v>
      </c>
      <c r="S15" s="78">
        <f>'Bloomberg Raw Data- all volumes'!G94</f>
        <v>0.21100370407104499</v>
      </c>
      <c r="T15" s="79">
        <f t="shared" si="4"/>
        <v>2.7036729122048575E-6</v>
      </c>
      <c r="U15" s="185">
        <f t="shared" si="5"/>
        <v>0.49609850136956268</v>
      </c>
      <c r="V15" s="185">
        <f t="shared" si="7"/>
        <v>-2.0547813776102819E-3</v>
      </c>
      <c r="W15" s="209">
        <f t="shared" si="8"/>
        <v>-0.14000000000000057</v>
      </c>
      <c r="X15" s="185">
        <f t="shared" si="9"/>
        <v>386.46073256688931</v>
      </c>
      <c r="Y15" s="185">
        <f t="shared" si="10"/>
        <v>-54.104502559364725</v>
      </c>
      <c r="Z15" s="185">
        <f t="shared" si="12"/>
        <v>-1366.5769481815512</v>
      </c>
      <c r="AA15" s="209">
        <f>MAX(D15-F15,0)</f>
        <v>0</v>
      </c>
      <c r="AB15" s="209">
        <f t="shared" si="11"/>
        <v>3.6400000000000006</v>
      </c>
      <c r="AC15" s="209">
        <f t="shared" si="6"/>
        <v>-50.464502559364725</v>
      </c>
    </row>
    <row r="16" spans="2:29" ht="14.45">
      <c r="B16" s="207">
        <f>'Bloomberg Raw Data- all volumes'!A97</f>
        <v>45611</v>
      </c>
      <c r="C16" s="58" t="str">
        <f>'Bloomberg Raw Data- all volumes'!C97</f>
        <v>MRK 11/15/24 C102</v>
      </c>
      <c r="D16" s="56">
        <f>'Bloomberg Raw Data- all volumes'!I97</f>
        <v>96.31</v>
      </c>
      <c r="E16" s="75">
        <v>0</v>
      </c>
      <c r="F16" s="208">
        <f>'Bloomberg Raw Data- all volumes'!B97</f>
        <v>102</v>
      </c>
      <c r="G16" s="56">
        <f>'Bloomberg Raw Data- all volumes'!F97</f>
        <v>1.00000016391277E-2</v>
      </c>
      <c r="H16" s="56">
        <f>'Bloomberg Raw Data- all volumes'!D97</f>
        <v>0</v>
      </c>
      <c r="I16" s="56">
        <f>'Bloomberg Raw Data- all volumes'!E97</f>
        <v>1.00000016391277E-2</v>
      </c>
      <c r="J16" s="71">
        <f>'Q1-(Without Zero Volume)'!J14</f>
        <v>4.6974999999999996E-2</v>
      </c>
      <c r="K16" s="72">
        <v>3.1099999999999999E-2</v>
      </c>
      <c r="L16" s="73">
        <f>(15-15)/252</f>
        <v>0</v>
      </c>
      <c r="M16" s="74">
        <f t="shared" si="3"/>
        <v>5.00000081956385E-3</v>
      </c>
      <c r="N16" s="75" t="e">
        <f t="shared" si="0"/>
        <v>#DIV/0!</v>
      </c>
      <c r="O16" s="75" t="e">
        <f t="shared" si="1"/>
        <v>#DIV/0!</v>
      </c>
      <c r="P16" s="75">
        <f>'Bloomberg Raw Data- all volumes'!H97</f>
        <v>19</v>
      </c>
      <c r="Q16" s="80">
        <v>0.33714516100305342</v>
      </c>
      <c r="R16" s="77" t="e">
        <f t="shared" si="2"/>
        <v>#DIV/0!</v>
      </c>
      <c r="S16" s="78">
        <f>'Bloomberg Raw Data- all volumes'!G95</f>
        <v>0.23149740219116199</v>
      </c>
      <c r="T16" s="79" t="e">
        <f t="shared" si="4"/>
        <v>#DIV/0!</v>
      </c>
      <c r="U16" s="185" t="e">
        <f t="shared" si="5"/>
        <v>#DIV/0!</v>
      </c>
      <c r="V16" s="185" t="e">
        <f t="shared" si="7"/>
        <v>#DIV/0!</v>
      </c>
      <c r="W16" s="209">
        <f t="shared" si="8"/>
        <v>-2.0499999999999972</v>
      </c>
      <c r="X16" s="185" t="e">
        <f t="shared" si="9"/>
        <v>#DIV/0!</v>
      </c>
      <c r="Y16" s="185" t="e">
        <f t="shared" si="10"/>
        <v>#DIV/0!</v>
      </c>
      <c r="Z16" s="185" t="e">
        <f t="shared" si="12"/>
        <v>#DIV/0!</v>
      </c>
      <c r="AA16" s="185"/>
      <c r="AB16" s="209">
        <f t="shared" si="11"/>
        <v>5.6899999999999977</v>
      </c>
      <c r="AC16" s="209" t="e">
        <f t="shared" si="6"/>
        <v>#DIV/0!</v>
      </c>
    </row>
    <row r="20" spans="2:29" ht="13.9" customHeight="1">
      <c r="B20" s="437" t="s">
        <v>241</v>
      </c>
      <c r="C20" s="437"/>
      <c r="D20" s="437"/>
      <c r="E20" s="437"/>
      <c r="F20" s="437"/>
      <c r="G20" s="437"/>
      <c r="H20" s="437"/>
      <c r="I20" s="437"/>
      <c r="J20" s="437"/>
      <c r="K20" s="437"/>
      <c r="L20" s="437"/>
      <c r="M20" s="437"/>
      <c r="N20" s="437"/>
      <c r="O20" s="437"/>
      <c r="P20" s="437"/>
      <c r="Q20" s="437"/>
      <c r="R20" s="437"/>
      <c r="S20" s="437"/>
      <c r="T20" s="437"/>
      <c r="U20" s="437"/>
      <c r="V20" s="437"/>
      <c r="W20" s="437"/>
      <c r="X20" s="437"/>
      <c r="Y20" s="437"/>
      <c r="Z20" s="437"/>
      <c r="AA20" s="437"/>
      <c r="AB20" s="437"/>
      <c r="AC20" s="437"/>
    </row>
    <row r="21" spans="2:29" ht="13.9" customHeight="1">
      <c r="B21" s="437"/>
      <c r="C21" s="437"/>
      <c r="D21" s="437"/>
      <c r="E21" s="437"/>
      <c r="F21" s="437"/>
      <c r="G21" s="437"/>
      <c r="H21" s="437"/>
      <c r="I21" s="437"/>
      <c r="J21" s="437"/>
      <c r="K21" s="437"/>
      <c r="L21" s="437"/>
      <c r="M21" s="437"/>
      <c r="N21" s="437"/>
      <c r="O21" s="437"/>
      <c r="P21" s="437"/>
      <c r="Q21" s="437"/>
      <c r="R21" s="437"/>
      <c r="S21" s="437"/>
      <c r="T21" s="437"/>
      <c r="U21" s="437"/>
      <c r="V21" s="437"/>
      <c r="W21" s="437"/>
      <c r="X21" s="437"/>
      <c r="Y21" s="437"/>
      <c r="Z21" s="437"/>
      <c r="AA21" s="437"/>
      <c r="AB21" s="437"/>
      <c r="AC21" s="437"/>
    </row>
    <row r="22" spans="2:29" ht="13.9" customHeight="1">
      <c r="B22" s="437"/>
      <c r="C22" s="437"/>
      <c r="D22" s="437"/>
      <c r="E22" s="437"/>
      <c r="F22" s="437"/>
      <c r="G22" s="437"/>
      <c r="H22" s="437"/>
      <c r="I22" s="437"/>
      <c r="J22" s="437"/>
      <c r="K22" s="437"/>
      <c r="L22" s="437"/>
      <c r="M22" s="437"/>
      <c r="N22" s="437"/>
      <c r="O22" s="437"/>
      <c r="P22" s="437"/>
      <c r="Q22" s="437"/>
      <c r="R22" s="437"/>
      <c r="S22" s="437"/>
      <c r="T22" s="437"/>
      <c r="U22" s="437"/>
      <c r="V22" s="437"/>
      <c r="W22" s="437"/>
      <c r="X22" s="437"/>
      <c r="Y22" s="437"/>
      <c r="Z22" s="437"/>
      <c r="AA22" s="437"/>
      <c r="AB22" s="437"/>
      <c r="AC22" s="437"/>
    </row>
    <row r="23" spans="2:29" ht="41.45">
      <c r="B23" s="181" t="s">
        <v>223</v>
      </c>
      <c r="C23" s="181" t="s">
        <v>38</v>
      </c>
      <c r="D23" s="182" t="s">
        <v>33</v>
      </c>
      <c r="E23" s="182" t="s">
        <v>224</v>
      </c>
      <c r="F23" s="182" t="s">
        <v>4</v>
      </c>
      <c r="G23" s="182" t="s">
        <v>225</v>
      </c>
      <c r="H23" s="181" t="s">
        <v>6</v>
      </c>
      <c r="I23" s="181" t="s">
        <v>7</v>
      </c>
      <c r="J23" s="182" t="s">
        <v>210</v>
      </c>
      <c r="K23" s="182" t="s">
        <v>211</v>
      </c>
      <c r="L23" s="182" t="s">
        <v>220</v>
      </c>
      <c r="M23" s="183" t="s">
        <v>11</v>
      </c>
      <c r="N23" s="181" t="s">
        <v>213</v>
      </c>
      <c r="O23" s="181" t="s">
        <v>214</v>
      </c>
      <c r="P23" s="181" t="s">
        <v>40</v>
      </c>
      <c r="Q23" s="211" t="s">
        <v>257</v>
      </c>
      <c r="R23" s="182" t="s">
        <v>216</v>
      </c>
      <c r="S23" s="182" t="s">
        <v>217</v>
      </c>
      <c r="T23" s="184" t="s">
        <v>218</v>
      </c>
      <c r="U23" s="184" t="s">
        <v>229</v>
      </c>
      <c r="V23" s="184" t="s">
        <v>251</v>
      </c>
      <c r="W23" s="184" t="s">
        <v>252</v>
      </c>
      <c r="X23" s="184" t="s">
        <v>230</v>
      </c>
      <c r="Y23" s="184" t="s">
        <v>253</v>
      </c>
      <c r="Z23" s="184" t="s">
        <v>254</v>
      </c>
      <c r="AA23" s="184" t="s">
        <v>235</v>
      </c>
      <c r="AB23" s="184" t="s">
        <v>255</v>
      </c>
      <c r="AC23" s="184" t="s">
        <v>256</v>
      </c>
    </row>
    <row r="24" spans="2:29" ht="14.45">
      <c r="B24" s="210">
        <f t="shared" ref="B24:L24" si="13">B8</f>
        <v>45601</v>
      </c>
      <c r="C24" s="59" t="str">
        <f t="shared" si="13"/>
        <v>MRK 11/15/24 C102</v>
      </c>
      <c r="D24" s="90">
        <f t="shared" si="13"/>
        <v>101.65</v>
      </c>
      <c r="E24" s="96">
        <f t="shared" si="13"/>
        <v>-2.161950527619365E-3</v>
      </c>
      <c r="F24" s="91">
        <f t="shared" si="13"/>
        <v>102</v>
      </c>
      <c r="G24" s="90">
        <f t="shared" si="13"/>
        <v>1.6900005340576201</v>
      </c>
      <c r="H24" s="90">
        <f t="shared" si="13"/>
        <v>1.5999994277954099</v>
      </c>
      <c r="I24" s="90">
        <f t="shared" si="13"/>
        <v>1.65999984741211</v>
      </c>
      <c r="J24" s="92">
        <f t="shared" si="13"/>
        <v>4.6974999999999996E-2</v>
      </c>
      <c r="K24" s="93">
        <f t="shared" si="13"/>
        <v>3.1099999999999999E-2</v>
      </c>
      <c r="L24" s="94">
        <f t="shared" si="13"/>
        <v>3.968253968253968E-2</v>
      </c>
      <c r="M24" s="95">
        <f>(H24+I24)/2</f>
        <v>1.62999963760376</v>
      </c>
      <c r="N24" s="96">
        <f t="shared" ref="N24:N32" si="14">(LN(D24/F24) + ((J24+ (Q24^2) / 2)*L24) / (Q24*SQRT(L24)))</f>
        <v>5.8754401812995939E-2</v>
      </c>
      <c r="O24" s="96">
        <f t="shared" ref="O24:O32" si="15">N24-Q24*SQRT(L24)</f>
        <v>8.3792338450824691E-3</v>
      </c>
      <c r="P24" s="96">
        <v>24</v>
      </c>
      <c r="Q24" s="97">
        <f>'Bloomberg Raw Data- all volumes'!G87</f>
        <v>0.25288133621215797</v>
      </c>
      <c r="R24" s="77">
        <f t="shared" ref="R24:R32" si="16">D24*_xlfn.NORM.S.DIST(N24,TRUE) - F24*EXP(-J24*L24)*_xlfn.NORM.S.DIST(O24,TRUE)</f>
        <v>1.9609168948729874</v>
      </c>
      <c r="S24" s="97">
        <v>0.31934274414062491</v>
      </c>
      <c r="T24" s="79">
        <f>M24-R24</f>
        <v>-0.33091725726922738</v>
      </c>
      <c r="U24" s="185">
        <f>_xlfn.NORM.S.DIST(N24,TRUE)</f>
        <v>0.52342613611985445</v>
      </c>
      <c r="V24" s="185">
        <v>0</v>
      </c>
      <c r="W24" s="209">
        <f>D24-D61</f>
        <v>-0.21999999999999886</v>
      </c>
      <c r="X24" s="185">
        <f>U24*P24</f>
        <v>12.562227266876507</v>
      </c>
      <c r="Y24" s="185">
        <f>X24*W24</f>
        <v>-2.7636899987128172</v>
      </c>
      <c r="Z24" s="185">
        <f>Y24</f>
        <v>-2.7636899987128172</v>
      </c>
      <c r="AA24" s="185"/>
      <c r="AB24" s="209">
        <f>F24-D24</f>
        <v>0.34999999999999432</v>
      </c>
      <c r="AC24" s="209">
        <f>AB24+Y24</f>
        <v>-2.4136899987128229</v>
      </c>
    </row>
    <row r="25" spans="2:29" ht="14.45">
      <c r="B25" s="210">
        <f t="shared" ref="B25:L32" si="17">B9</f>
        <v>45602</v>
      </c>
      <c r="C25" s="59" t="str">
        <f t="shared" si="17"/>
        <v>MRK 11/15/24 C102</v>
      </c>
      <c r="D25" s="90">
        <f t="shared" si="17"/>
        <v>100.73</v>
      </c>
      <c r="E25" s="96">
        <f t="shared" si="17"/>
        <v>-9.0918701197659074E-3</v>
      </c>
      <c r="F25" s="91">
        <f t="shared" si="17"/>
        <v>102</v>
      </c>
      <c r="G25" s="90">
        <f t="shared" si="17"/>
        <v>0.87000000476837203</v>
      </c>
      <c r="H25" s="90">
        <f t="shared" si="17"/>
        <v>0.730000019073486</v>
      </c>
      <c r="I25" s="90">
        <f t="shared" si="17"/>
        <v>0.91000002622604403</v>
      </c>
      <c r="J25" s="92">
        <f t="shared" si="17"/>
        <v>4.6974999999999996E-2</v>
      </c>
      <c r="K25" s="93">
        <f t="shared" si="17"/>
        <v>3.1099999999999999E-2</v>
      </c>
      <c r="L25" s="94">
        <f t="shared" si="17"/>
        <v>3.5714285714285712E-2</v>
      </c>
      <c r="M25" s="74">
        <f t="shared" ref="M25:M32" si="18">(H25+I25)/2</f>
        <v>0.82000002264976501</v>
      </c>
      <c r="N25" s="75">
        <f t="shared" si="14"/>
        <v>5.3838616119438396E-2</v>
      </c>
      <c r="O25" s="75">
        <f t="shared" si="15"/>
        <v>1.9864102130430848E-2</v>
      </c>
      <c r="P25" s="75">
        <v>124</v>
      </c>
      <c r="Q25" s="97">
        <f>'Bloomberg Raw Data- all volumes'!G88</f>
        <v>0.179776229858398</v>
      </c>
      <c r="R25" s="77">
        <f t="shared" si="16"/>
        <v>0.80607019945199454</v>
      </c>
      <c r="S25" s="80">
        <v>0.29785858398437493</v>
      </c>
      <c r="T25" s="79">
        <f t="shared" ref="T25:T32" si="19">M25-R25</f>
        <v>1.3929823197770475E-2</v>
      </c>
      <c r="U25" s="185">
        <f t="shared" ref="U25:U32" si="20">_xlfn.NORM.S.DIST(N25,TRUE)</f>
        <v>0.52146812854700797</v>
      </c>
      <c r="V25" s="185">
        <f>U25-U24</f>
        <v>-1.9580075728464763E-3</v>
      </c>
      <c r="W25" s="209">
        <f t="shared" ref="W25:W32" si="21">D25-D62</f>
        <v>-0.92000000000000171</v>
      </c>
      <c r="X25" s="185">
        <f t="shared" ref="X25:X32" si="22">U25*P25</f>
        <v>64.662047939828994</v>
      </c>
      <c r="Y25" s="185">
        <f t="shared" ref="Y25:Y32" si="23">X25*W25</f>
        <v>-59.489084104642785</v>
      </c>
      <c r="Z25" s="185">
        <f>Y25+Z24</f>
        <v>-62.252774103355605</v>
      </c>
      <c r="AA25" s="185"/>
      <c r="AB25" s="209">
        <f t="shared" ref="AB25:AB32" si="24">F25-D25</f>
        <v>1.269999999999996</v>
      </c>
      <c r="AC25" s="209">
        <f t="shared" ref="AC25:AC32" si="25">AB25+Y25</f>
        <v>-58.219084104642789</v>
      </c>
    </row>
    <row r="26" spans="2:29" ht="14.45">
      <c r="B26" s="210">
        <f t="shared" si="17"/>
        <v>45603</v>
      </c>
      <c r="C26" s="59" t="str">
        <f t="shared" si="17"/>
        <v>MRK 11/15/24 C102</v>
      </c>
      <c r="D26" s="90">
        <f t="shared" si="17"/>
        <v>101.17</v>
      </c>
      <c r="E26" s="96">
        <f t="shared" si="17"/>
        <v>-8.612963355278809E-2</v>
      </c>
      <c r="F26" s="91">
        <f t="shared" si="17"/>
        <v>102</v>
      </c>
      <c r="G26" s="90">
        <f t="shared" si="17"/>
        <v>0.93000000715255704</v>
      </c>
      <c r="H26" s="90">
        <f t="shared" si="17"/>
        <v>0.87999999523162797</v>
      </c>
      <c r="I26" s="90">
        <f t="shared" si="17"/>
        <v>1.5</v>
      </c>
      <c r="J26" s="92">
        <f t="shared" si="17"/>
        <v>4.6974999999999996E-2</v>
      </c>
      <c r="K26" s="93">
        <f t="shared" si="17"/>
        <v>3.1099999999999999E-2</v>
      </c>
      <c r="L26" s="94">
        <f t="shared" si="17"/>
        <v>3.1746031746031744E-2</v>
      </c>
      <c r="M26" s="74">
        <f t="shared" si="18"/>
        <v>1.189999997615814</v>
      </c>
      <c r="N26" s="75">
        <f t="shared" si="14"/>
        <v>4.8194622003933762E-2</v>
      </c>
      <c r="O26" s="75">
        <f t="shared" si="15"/>
        <v>5.7755012068843592E-3</v>
      </c>
      <c r="P26" s="75">
        <v>56</v>
      </c>
      <c r="Q26" s="97">
        <f>'Bloomberg Raw Data- all volumes'!G89</f>
        <v>0.23807672500610402</v>
      </c>
      <c r="R26" s="77">
        <f t="shared" si="16"/>
        <v>1.3707621771442007</v>
      </c>
      <c r="S26" s="80">
        <v>0.2924875439453124</v>
      </c>
      <c r="T26" s="79">
        <f t="shared" si="19"/>
        <v>-0.18076217952838669</v>
      </c>
      <c r="U26" s="185">
        <f t="shared" si="20"/>
        <v>0.51921943188591801</v>
      </c>
      <c r="V26" s="185">
        <f t="shared" ref="V26:V32" si="26">U26-U25</f>
        <v>-2.248696661089955E-3</v>
      </c>
      <c r="W26" s="209">
        <f t="shared" si="21"/>
        <v>-9.0999999999999943</v>
      </c>
      <c r="X26" s="185">
        <f t="shared" si="22"/>
        <v>29.076288185611411</v>
      </c>
      <c r="Y26" s="185">
        <f t="shared" si="23"/>
        <v>-264.59422248906367</v>
      </c>
      <c r="Z26" s="185">
        <f t="shared" ref="Z26:Z32" si="27">Y26+Z25</f>
        <v>-326.84699659241926</v>
      </c>
      <c r="AA26" s="185"/>
      <c r="AB26" s="209">
        <f t="shared" si="24"/>
        <v>0.82999999999999829</v>
      </c>
      <c r="AC26" s="209">
        <f t="shared" si="25"/>
        <v>-263.76422248906368</v>
      </c>
    </row>
    <row r="27" spans="2:29" ht="14.45">
      <c r="B27" s="210">
        <f t="shared" si="17"/>
        <v>45604</v>
      </c>
      <c r="C27" s="59" t="str">
        <f t="shared" si="17"/>
        <v>MRK 11/15/24 C102</v>
      </c>
      <c r="D27" s="90">
        <f t="shared" si="17"/>
        <v>102.92</v>
      </c>
      <c r="E27" s="96">
        <f t="shared" si="17"/>
        <v>-6.1058902574337472E-2</v>
      </c>
      <c r="F27" s="91">
        <f t="shared" si="17"/>
        <v>102</v>
      </c>
      <c r="G27" s="90">
        <f t="shared" si="17"/>
        <v>1.69999980926514</v>
      </c>
      <c r="H27" s="90">
        <f t="shared" si="17"/>
        <v>1.57999992370605</v>
      </c>
      <c r="I27" s="90">
        <f t="shared" si="17"/>
        <v>2.1400003433227499</v>
      </c>
      <c r="J27" s="92">
        <f t="shared" si="17"/>
        <v>4.6974999999999996E-2</v>
      </c>
      <c r="K27" s="93">
        <f t="shared" si="17"/>
        <v>3.1099999999999999E-2</v>
      </c>
      <c r="L27" s="94">
        <f t="shared" si="17"/>
        <v>2.7777777777777776E-2</v>
      </c>
      <c r="M27" s="74">
        <f t="shared" si="18"/>
        <v>1.8600001335143999</v>
      </c>
      <c r="N27" s="75">
        <f t="shared" si="14"/>
        <v>6.2434796207709593E-2</v>
      </c>
      <c r="O27" s="75">
        <f t="shared" si="15"/>
        <v>2.4720244917833263E-2</v>
      </c>
      <c r="P27" s="75">
        <v>84</v>
      </c>
      <c r="Q27" s="97">
        <f>'Bloomberg Raw Data- all volumes'!G90</f>
        <v>0.22628730773925798</v>
      </c>
      <c r="R27" s="77">
        <f t="shared" si="16"/>
        <v>2.0838540680564392</v>
      </c>
      <c r="S27" s="80">
        <v>0.29102271484374992</v>
      </c>
      <c r="T27" s="79">
        <f t="shared" si="19"/>
        <v>-0.22385393454203939</v>
      </c>
      <c r="U27" s="185">
        <f t="shared" si="20"/>
        <v>0.52489170718295641</v>
      </c>
      <c r="V27" s="185">
        <f t="shared" si="26"/>
        <v>5.6722752970383983E-3</v>
      </c>
      <c r="W27" s="209">
        <f t="shared" si="21"/>
        <v>-6.480000000000004</v>
      </c>
      <c r="X27" s="185">
        <f t="shared" si="22"/>
        <v>44.090903403368337</v>
      </c>
      <c r="Y27" s="185">
        <f t="shared" si="23"/>
        <v>-285.709054053827</v>
      </c>
      <c r="Z27" s="185">
        <f t="shared" si="27"/>
        <v>-612.55605064624626</v>
      </c>
      <c r="AA27" s="185"/>
      <c r="AB27" s="209">
        <f t="shared" si="24"/>
        <v>-0.92000000000000171</v>
      </c>
      <c r="AC27" s="209">
        <f t="shared" si="25"/>
        <v>-286.62905405382702</v>
      </c>
    </row>
    <row r="28" spans="2:29" ht="14.45">
      <c r="B28" s="210">
        <f t="shared" si="17"/>
        <v>45607</v>
      </c>
      <c r="C28" s="59" t="str">
        <f t="shared" si="17"/>
        <v>MRK 11/15/24 C102</v>
      </c>
      <c r="D28" s="90">
        <f t="shared" si="17"/>
        <v>100.73</v>
      </c>
      <c r="E28" s="96">
        <f t="shared" si="17"/>
        <v>-0.10184994305185577</v>
      </c>
      <c r="F28" s="91">
        <f t="shared" si="17"/>
        <v>102</v>
      </c>
      <c r="G28" s="90">
        <f t="shared" si="17"/>
        <v>0.41000002622604398</v>
      </c>
      <c r="H28" s="90">
        <f t="shared" si="17"/>
        <v>0.34000003337860102</v>
      </c>
      <c r="I28" s="90">
        <f t="shared" si="17"/>
        <v>0.56999999284744296</v>
      </c>
      <c r="J28" s="92">
        <f t="shared" si="17"/>
        <v>4.6974999999999996E-2</v>
      </c>
      <c r="K28" s="93">
        <f t="shared" si="17"/>
        <v>3.1099999999999999E-2</v>
      </c>
      <c r="L28" s="94">
        <f t="shared" si="17"/>
        <v>1.5873015873015872E-2</v>
      </c>
      <c r="M28" s="74">
        <f t="shared" si="18"/>
        <v>0.45500001311302196</v>
      </c>
      <c r="N28" s="75">
        <f t="shared" si="14"/>
        <v>2.787950872683256E-2</v>
      </c>
      <c r="O28" s="75">
        <f t="shared" si="15"/>
        <v>-6.3001227928259629E-4</v>
      </c>
      <c r="P28" s="75">
        <v>100</v>
      </c>
      <c r="Q28" s="97">
        <f>'Bloomberg Raw Data- all volumes'!G91</f>
        <v>0.22628730773925798</v>
      </c>
      <c r="R28" s="77">
        <f t="shared" si="16"/>
        <v>0.54883627797904921</v>
      </c>
      <c r="S28" s="80">
        <v>0.29004616210937489</v>
      </c>
      <c r="T28" s="79">
        <f t="shared" si="19"/>
        <v>-9.3836264866027252E-2</v>
      </c>
      <c r="U28" s="185">
        <f t="shared" si="20"/>
        <v>0.51112087412120499</v>
      </c>
      <c r="V28" s="185">
        <f t="shared" si="26"/>
        <v>-1.377083306175142E-2</v>
      </c>
      <c r="W28" s="209">
        <f t="shared" si="21"/>
        <v>-9</v>
      </c>
      <c r="X28" s="185">
        <f t="shared" si="22"/>
        <v>51.112087412120502</v>
      </c>
      <c r="Y28" s="185">
        <f t="shared" si="23"/>
        <v>-460.00878670908452</v>
      </c>
      <c r="Z28" s="185">
        <f t="shared" si="27"/>
        <v>-1072.5648373553308</v>
      </c>
      <c r="AA28" s="185"/>
      <c r="AB28" s="209">
        <f t="shared" si="24"/>
        <v>1.269999999999996</v>
      </c>
      <c r="AC28" s="209">
        <f t="shared" si="25"/>
        <v>-458.73878670908454</v>
      </c>
    </row>
    <row r="29" spans="2:29" ht="14.45">
      <c r="B29" s="210">
        <f t="shared" si="17"/>
        <v>45608</v>
      </c>
      <c r="C29" s="59" t="str">
        <f t="shared" si="17"/>
        <v>MRK 11/15/24 C102</v>
      </c>
      <c r="D29" s="90">
        <f t="shared" si="17"/>
        <v>98.58</v>
      </c>
      <c r="E29" s="96">
        <f t="shared" si="17"/>
        <v>-0.11342287557866687</v>
      </c>
      <c r="F29" s="91">
        <f t="shared" si="17"/>
        <v>102</v>
      </c>
      <c r="G29" s="90">
        <f t="shared" si="17"/>
        <v>7.9999983310699505E-2</v>
      </c>
      <c r="H29" s="90">
        <f t="shared" si="17"/>
        <v>7.9999983310699505E-2</v>
      </c>
      <c r="I29" s="90">
        <f t="shared" si="17"/>
        <v>0.110000014305115</v>
      </c>
      <c r="J29" s="92">
        <f t="shared" si="17"/>
        <v>4.6974999999999996E-2</v>
      </c>
      <c r="K29" s="93">
        <f t="shared" si="17"/>
        <v>3.1099999999999999E-2</v>
      </c>
      <c r="L29" s="94">
        <f t="shared" si="17"/>
        <v>1.1904761904761904E-2</v>
      </c>
      <c r="M29" s="85">
        <f t="shared" si="18"/>
        <v>9.4999998807907243E-2</v>
      </c>
      <c r="N29" s="86">
        <f t="shared" si="14"/>
        <v>8.9050720658792604E-4</v>
      </c>
      <c r="O29" s="86">
        <f t="shared" si="15"/>
        <v>-2.3799462234433886E-2</v>
      </c>
      <c r="P29" s="86">
        <v>65</v>
      </c>
      <c r="Q29" s="97">
        <f>'Bloomberg Raw Data- all volumes'!G92</f>
        <v>0.22628730773925798</v>
      </c>
      <c r="R29" s="77">
        <f t="shared" si="16"/>
        <v>-0.67864821466015002</v>
      </c>
      <c r="S29" s="87">
        <v>0.29077857666015622</v>
      </c>
      <c r="T29" s="89">
        <f t="shared" si="19"/>
        <v>0.77364821346805723</v>
      </c>
      <c r="U29" s="185">
        <f t="shared" si="20"/>
        <v>0.50035526092875626</v>
      </c>
      <c r="V29" s="185">
        <f t="shared" si="26"/>
        <v>-1.0765613192448731E-2</v>
      </c>
      <c r="W29" s="209">
        <f t="shared" si="21"/>
        <v>-11.11</v>
      </c>
      <c r="X29" s="185">
        <f t="shared" si="22"/>
        <v>32.523091960369158</v>
      </c>
      <c r="Y29" s="185">
        <f t="shared" si="23"/>
        <v>-361.33155167970131</v>
      </c>
      <c r="Z29" s="185">
        <f t="shared" si="27"/>
        <v>-1433.8963890350321</v>
      </c>
      <c r="AA29" s="185"/>
      <c r="AB29" s="209">
        <f t="shared" si="24"/>
        <v>3.4200000000000017</v>
      </c>
      <c r="AC29" s="209">
        <f t="shared" si="25"/>
        <v>-357.91155167970129</v>
      </c>
    </row>
    <row r="30" spans="2:29" ht="14.45">
      <c r="B30" s="210">
        <f t="shared" si="17"/>
        <v>45609</v>
      </c>
      <c r="C30" s="59" t="str">
        <f t="shared" si="17"/>
        <v>MRK 11/15/24 C102</v>
      </c>
      <c r="D30" s="90">
        <f t="shared" si="17"/>
        <v>98.5</v>
      </c>
      <c r="E30" s="96">
        <f t="shared" si="17"/>
        <v>-0.10814850377723755</v>
      </c>
      <c r="F30" s="91">
        <f t="shared" si="17"/>
        <v>102</v>
      </c>
      <c r="G30" s="90">
        <f t="shared" si="17"/>
        <v>5.0000000745058101E-2</v>
      </c>
      <c r="H30" s="90">
        <f t="shared" si="17"/>
        <v>3.0000001192092899E-2</v>
      </c>
      <c r="I30" s="90">
        <f t="shared" si="17"/>
        <v>5.0000000745058101E-2</v>
      </c>
      <c r="J30" s="92">
        <f t="shared" si="17"/>
        <v>4.6974999999999996E-2</v>
      </c>
      <c r="K30" s="93">
        <f t="shared" si="17"/>
        <v>3.1099999999999999E-2</v>
      </c>
      <c r="L30" s="94">
        <f t="shared" si="17"/>
        <v>7.9365079365079361E-3</v>
      </c>
      <c r="M30" s="74">
        <f t="shared" si="18"/>
        <v>4.0000000968575498E-2</v>
      </c>
      <c r="N30" s="75">
        <f t="shared" si="14"/>
        <v>-5.049920722827804E-3</v>
      </c>
      <c r="O30" s="75">
        <f t="shared" si="15"/>
        <v>-2.2818182357588219E-2</v>
      </c>
      <c r="P30" s="75">
        <v>28</v>
      </c>
      <c r="Q30" s="97">
        <f>'Bloomberg Raw Data- all volumes'!G93</f>
        <v>0.19944824218750001</v>
      </c>
      <c r="R30" s="77">
        <f t="shared" si="16"/>
        <v>-1.0013363556751784</v>
      </c>
      <c r="S30" s="80">
        <v>0.30396203857421872</v>
      </c>
      <c r="T30" s="79">
        <f t="shared" si="19"/>
        <v>1.0413363566437539</v>
      </c>
      <c r="U30" s="185">
        <f t="shared" si="20"/>
        <v>0.49798538167369072</v>
      </c>
      <c r="V30" s="185">
        <f t="shared" si="26"/>
        <v>-2.3698792550655434E-3</v>
      </c>
      <c r="W30" s="209">
        <f t="shared" si="21"/>
        <v>-13.030000000000001</v>
      </c>
      <c r="X30" s="185">
        <f t="shared" si="22"/>
        <v>13.94359068686334</v>
      </c>
      <c r="Y30" s="185">
        <f t="shared" si="23"/>
        <v>-181.68498664982934</v>
      </c>
      <c r="Z30" s="185">
        <f t="shared" si="27"/>
        <v>-1615.5813756848615</v>
      </c>
      <c r="AA30" s="185"/>
      <c r="AB30" s="209">
        <f t="shared" si="24"/>
        <v>3.5</v>
      </c>
      <c r="AC30" s="209">
        <f t="shared" si="25"/>
        <v>-178.18498664982934</v>
      </c>
    </row>
    <row r="31" spans="2:29" ht="14.45">
      <c r="B31" s="210">
        <f t="shared" si="17"/>
        <v>45610</v>
      </c>
      <c r="C31" s="59" t="str">
        <f t="shared" si="17"/>
        <v>MRK 11/15/24 C102</v>
      </c>
      <c r="D31" s="90">
        <f t="shared" si="17"/>
        <v>98.36</v>
      </c>
      <c r="E31" s="96">
        <f t="shared" si="17"/>
        <v>-9.9957576779171942E-2</v>
      </c>
      <c r="F31" s="91">
        <f t="shared" si="17"/>
        <v>102</v>
      </c>
      <c r="G31" s="90">
        <f t="shared" si="17"/>
        <v>1.9999999552965199E-2</v>
      </c>
      <c r="H31" s="90">
        <f t="shared" si="17"/>
        <v>9.9999997764825804E-3</v>
      </c>
      <c r="I31" s="90">
        <f t="shared" si="17"/>
        <v>3.9999999105930301E-2</v>
      </c>
      <c r="J31" s="92">
        <f t="shared" si="17"/>
        <v>4.6974999999999996E-2</v>
      </c>
      <c r="K31" s="93">
        <f t="shared" si="17"/>
        <v>3.1099999999999999E-2</v>
      </c>
      <c r="L31" s="94">
        <f t="shared" si="17"/>
        <v>3.968253968253968E-3</v>
      </c>
      <c r="M31" s="74">
        <f t="shared" si="18"/>
        <v>2.4999999441206441E-2</v>
      </c>
      <c r="N31" s="75">
        <f t="shared" si="14"/>
        <v>-1.5668457474046257E-2</v>
      </c>
      <c r="O31" s="75">
        <f t="shared" si="15"/>
        <v>-2.8960441442747502E-2</v>
      </c>
      <c r="P31" s="75">
        <v>29</v>
      </c>
      <c r="Q31" s="97">
        <f>'Bloomberg Raw Data- all volumes'!G94</f>
        <v>0.21100370407104499</v>
      </c>
      <c r="R31" s="77">
        <f t="shared" si="16"/>
        <v>-1.247221361879987</v>
      </c>
      <c r="S31" s="80">
        <v>0.30127651855468751</v>
      </c>
      <c r="T31" s="79">
        <f t="shared" si="19"/>
        <v>1.2722213613211935</v>
      </c>
      <c r="U31" s="185">
        <f t="shared" si="20"/>
        <v>0.49374944559841144</v>
      </c>
      <c r="V31" s="185">
        <f t="shared" si="26"/>
        <v>-4.2359360752792785E-3</v>
      </c>
      <c r="W31" s="209">
        <f t="shared" si="21"/>
        <v>-12.060000000000002</v>
      </c>
      <c r="X31" s="185">
        <f t="shared" si="22"/>
        <v>14.318733922353932</v>
      </c>
      <c r="Y31" s="185">
        <f t="shared" si="23"/>
        <v>-172.68393110358846</v>
      </c>
      <c r="Z31" s="185">
        <f t="shared" si="27"/>
        <v>-1788.2653067884501</v>
      </c>
      <c r="AA31" s="209">
        <f>MAX(D31-F31,0)</f>
        <v>0</v>
      </c>
      <c r="AB31" s="209">
        <f t="shared" si="24"/>
        <v>3.6400000000000006</v>
      </c>
      <c r="AC31" s="209">
        <f t="shared" si="25"/>
        <v>-169.04393110358848</v>
      </c>
    </row>
    <row r="32" spans="2:29" ht="14.45">
      <c r="B32" s="210">
        <f t="shared" si="17"/>
        <v>45611</v>
      </c>
      <c r="C32" s="59" t="str">
        <f t="shared" si="17"/>
        <v>MRK 11/15/24 C102</v>
      </c>
      <c r="D32" s="90">
        <f t="shared" si="17"/>
        <v>96.31</v>
      </c>
      <c r="E32" s="96">
        <f t="shared" si="17"/>
        <v>0</v>
      </c>
      <c r="F32" s="91">
        <f t="shared" si="17"/>
        <v>102</v>
      </c>
      <c r="G32" s="90">
        <f t="shared" si="17"/>
        <v>1.00000016391277E-2</v>
      </c>
      <c r="H32" s="90">
        <f t="shared" si="17"/>
        <v>0</v>
      </c>
      <c r="I32" s="90">
        <f t="shared" si="17"/>
        <v>1.00000016391277E-2</v>
      </c>
      <c r="J32" s="92">
        <f t="shared" si="17"/>
        <v>4.6974999999999996E-2</v>
      </c>
      <c r="K32" s="93">
        <f t="shared" si="17"/>
        <v>3.1099999999999999E-2</v>
      </c>
      <c r="L32" s="94">
        <f t="shared" si="17"/>
        <v>0</v>
      </c>
      <c r="M32" s="74">
        <f t="shared" si="18"/>
        <v>5.00000081956385E-3</v>
      </c>
      <c r="N32" s="75" t="e">
        <f t="shared" si="14"/>
        <v>#DIV/0!</v>
      </c>
      <c r="O32" s="75" t="e">
        <f t="shared" si="15"/>
        <v>#DIV/0!</v>
      </c>
      <c r="P32" s="75">
        <v>69</v>
      </c>
      <c r="Q32" s="97">
        <f>'Bloomberg Raw Data- all volumes'!G95</f>
        <v>0.23149740219116199</v>
      </c>
      <c r="R32" s="77" t="e">
        <f t="shared" si="16"/>
        <v>#DIV/0!</v>
      </c>
      <c r="S32" s="80">
        <v>0.32178412597656247</v>
      </c>
      <c r="T32" s="79" t="e">
        <f t="shared" si="19"/>
        <v>#DIV/0!</v>
      </c>
      <c r="U32" s="185" t="e">
        <f t="shared" si="20"/>
        <v>#DIV/0!</v>
      </c>
      <c r="V32" s="185" t="e">
        <f t="shared" si="26"/>
        <v>#DIV/0!</v>
      </c>
      <c r="W32" s="209">
        <f t="shared" si="21"/>
        <v>-13.439999999999998</v>
      </c>
      <c r="X32" s="185" t="e">
        <f t="shared" si="22"/>
        <v>#DIV/0!</v>
      </c>
      <c r="Y32" s="185" t="e">
        <f t="shared" si="23"/>
        <v>#DIV/0!</v>
      </c>
      <c r="Z32" s="185" t="e">
        <f t="shared" si="27"/>
        <v>#DIV/0!</v>
      </c>
      <c r="AA32" s="185"/>
      <c r="AB32" s="209">
        <f t="shared" si="24"/>
        <v>5.6899999999999977</v>
      </c>
      <c r="AC32" s="209" t="e">
        <f t="shared" si="25"/>
        <v>#DIV/0!</v>
      </c>
    </row>
    <row r="37" spans="2:12" ht="30">
      <c r="B37" s="438" t="s">
        <v>243</v>
      </c>
      <c r="C37" s="450"/>
      <c r="D37" s="450"/>
      <c r="E37" s="450"/>
      <c r="F37" s="450"/>
      <c r="G37" s="450"/>
      <c r="H37" s="450"/>
      <c r="I37" s="450"/>
      <c r="J37" s="450"/>
      <c r="K37" s="450"/>
    </row>
    <row r="38" spans="2:12">
      <c r="B38" s="186"/>
      <c r="C38" s="186"/>
      <c r="D38" s="186"/>
      <c r="E38" s="186"/>
      <c r="F38" s="187"/>
      <c r="G38" s="186"/>
      <c r="H38" s="186"/>
      <c r="I38" s="186"/>
      <c r="J38" s="188"/>
      <c r="K38" s="189"/>
    </row>
    <row r="39" spans="2:12">
      <c r="B39" s="186"/>
      <c r="C39" s="190" t="s">
        <v>223</v>
      </c>
      <c r="D39" s="190" t="s">
        <v>244</v>
      </c>
      <c r="E39" s="190" t="s">
        <v>245</v>
      </c>
      <c r="F39" s="191" t="s">
        <v>246</v>
      </c>
      <c r="G39" s="191" t="s">
        <v>247</v>
      </c>
      <c r="H39" s="192" t="s">
        <v>248</v>
      </c>
      <c r="I39" s="186"/>
      <c r="J39" s="186"/>
      <c r="K39" s="188"/>
      <c r="L39" s="189"/>
    </row>
    <row r="40" spans="2:12">
      <c r="B40" s="186"/>
      <c r="C40" s="193">
        <v>45569</v>
      </c>
      <c r="D40" s="202">
        <v>109.77</v>
      </c>
      <c r="E40" s="204">
        <f t="shared" ref="E40:E69" si="28">(C41-C40)/D41</f>
        <v>2.7626853301408967E-2</v>
      </c>
      <c r="F40" s="194"/>
      <c r="G40" s="194"/>
      <c r="H40" s="195"/>
      <c r="I40" s="186" t="s">
        <v>258</v>
      </c>
      <c r="J40" s="186"/>
      <c r="K40" s="188"/>
      <c r="L40" s="189"/>
    </row>
    <row r="41" spans="2:12">
      <c r="B41" s="186"/>
      <c r="C41" s="193">
        <v>45572</v>
      </c>
      <c r="D41" s="202">
        <v>108.59</v>
      </c>
      <c r="E41" s="204">
        <f t="shared" si="28"/>
        <v>9.2148912642830826E-3</v>
      </c>
      <c r="F41" s="204">
        <f t="shared" ref="F41:F70" si="29">LN(D41/D40)</f>
        <v>-1.0807945470415938E-2</v>
      </c>
      <c r="G41" s="204"/>
      <c r="H41" s="204"/>
      <c r="I41" s="186"/>
      <c r="J41" s="186"/>
      <c r="K41" s="188"/>
      <c r="L41" s="189"/>
    </row>
    <row r="42" spans="2:12">
      <c r="B42" s="186"/>
      <c r="C42" s="193">
        <v>45573</v>
      </c>
      <c r="D42" s="202">
        <v>108.52</v>
      </c>
      <c r="E42" s="204">
        <f t="shared" si="28"/>
        <v>9.0686496780629372E-3</v>
      </c>
      <c r="F42" s="204">
        <f t="shared" si="29"/>
        <v>-6.4483443807811453E-4</v>
      </c>
      <c r="G42" s="204"/>
      <c r="H42" s="204"/>
      <c r="I42" s="186"/>
      <c r="J42" s="186"/>
      <c r="K42" s="188"/>
      <c r="L42" s="189"/>
    </row>
    <row r="43" spans="2:12">
      <c r="B43" s="186"/>
      <c r="C43" s="193">
        <v>45574</v>
      </c>
      <c r="D43" s="202">
        <v>110.27</v>
      </c>
      <c r="E43" s="204">
        <f t="shared" si="28"/>
        <v>9.140767824497258E-3</v>
      </c>
      <c r="F43" s="204">
        <f t="shared" si="29"/>
        <v>1.5997415979856214E-2</v>
      </c>
      <c r="G43" s="204"/>
      <c r="H43" s="204"/>
      <c r="I43" s="186"/>
      <c r="J43" s="186"/>
      <c r="K43" s="188"/>
      <c r="L43" s="189"/>
    </row>
    <row r="44" spans="2:12">
      <c r="B44" s="186"/>
      <c r="C44" s="193">
        <v>45575</v>
      </c>
      <c r="D44" s="202">
        <v>109.4</v>
      </c>
      <c r="E44" s="204">
        <f t="shared" si="28"/>
        <v>9.1132780461131869E-3</v>
      </c>
      <c r="F44" s="204">
        <f t="shared" si="29"/>
        <v>-7.9210137827062516E-3</v>
      </c>
      <c r="G44" s="204"/>
      <c r="H44" s="204"/>
      <c r="I44" s="186"/>
      <c r="J44" s="186"/>
      <c r="K44" s="188"/>
      <c r="L44" s="189"/>
    </row>
    <row r="45" spans="2:12">
      <c r="B45" s="186"/>
      <c r="C45" s="193">
        <v>45576</v>
      </c>
      <c r="D45" s="202">
        <v>109.73</v>
      </c>
      <c r="E45" s="204">
        <f t="shared" si="28"/>
        <v>2.7349803993071384E-2</v>
      </c>
      <c r="F45" s="204">
        <f t="shared" si="29"/>
        <v>3.0119130148268405E-3</v>
      </c>
      <c r="G45" s="204"/>
      <c r="H45" s="204"/>
      <c r="I45" s="186"/>
      <c r="J45" s="186"/>
      <c r="K45" s="188"/>
      <c r="L45" s="189"/>
    </row>
    <row r="46" spans="2:12">
      <c r="B46" s="186"/>
      <c r="C46" s="193">
        <v>45579</v>
      </c>
      <c r="D46" s="202">
        <v>109.69</v>
      </c>
      <c r="E46" s="204">
        <f t="shared" si="28"/>
        <v>8.9661974356675337E-3</v>
      </c>
      <c r="F46" s="204">
        <f t="shared" si="29"/>
        <v>-3.6459757946500368E-4</v>
      </c>
      <c r="G46" s="204"/>
      <c r="H46" s="204"/>
      <c r="I46" s="186"/>
      <c r="J46" s="186"/>
      <c r="K46" s="188"/>
      <c r="L46" s="189"/>
    </row>
    <row r="47" spans="2:12">
      <c r="B47" s="186"/>
      <c r="C47" s="193">
        <v>45580</v>
      </c>
      <c r="D47" s="202">
        <v>111.53</v>
      </c>
      <c r="E47" s="204">
        <f t="shared" si="28"/>
        <v>9.056330374932078E-3</v>
      </c>
      <c r="F47" s="204">
        <f t="shared" si="29"/>
        <v>1.6635407583202821E-2</v>
      </c>
      <c r="G47" s="204"/>
      <c r="H47" s="204"/>
      <c r="I47" s="186"/>
      <c r="J47" s="186"/>
      <c r="K47" s="188"/>
      <c r="L47" s="189"/>
    </row>
    <row r="48" spans="2:12">
      <c r="B48" s="186"/>
      <c r="C48" s="193">
        <v>45581</v>
      </c>
      <c r="D48" s="202">
        <v>110.42</v>
      </c>
      <c r="E48" s="204">
        <f t="shared" si="28"/>
        <v>9.1116173120728925E-3</v>
      </c>
      <c r="F48" s="204">
        <f t="shared" si="29"/>
        <v>-1.0002336150547016E-2</v>
      </c>
      <c r="G48" s="204"/>
      <c r="H48" s="204"/>
      <c r="I48" s="186"/>
      <c r="J48" s="186"/>
      <c r="K48" s="188"/>
      <c r="L48" s="189"/>
    </row>
    <row r="49" spans="2:12">
      <c r="B49" s="186"/>
      <c r="C49" s="193">
        <v>45582</v>
      </c>
      <c r="D49" s="202">
        <v>109.75</v>
      </c>
      <c r="E49" s="204">
        <f t="shared" si="28"/>
        <v>9.1996320147194107E-3</v>
      </c>
      <c r="F49" s="204">
        <f t="shared" si="29"/>
        <v>-6.0862249006177959E-3</v>
      </c>
      <c r="G49" s="204"/>
      <c r="H49" s="204"/>
      <c r="I49" s="186"/>
      <c r="J49" s="186"/>
      <c r="K49" s="188"/>
      <c r="L49" s="189"/>
    </row>
    <row r="50" spans="2:12">
      <c r="B50" s="186"/>
      <c r="C50" s="193">
        <v>45583</v>
      </c>
      <c r="D50" s="202">
        <v>108.7</v>
      </c>
      <c r="E50" s="204">
        <f t="shared" si="28"/>
        <v>2.8211397404551437E-2</v>
      </c>
      <c r="F50" s="204">
        <f t="shared" si="29"/>
        <v>-9.6132578281169171E-3</v>
      </c>
      <c r="G50" s="204"/>
      <c r="H50" s="204"/>
      <c r="I50" s="186"/>
      <c r="J50" s="186"/>
      <c r="K50" s="188"/>
      <c r="L50" s="189"/>
    </row>
    <row r="51" spans="2:12">
      <c r="B51" s="186"/>
      <c r="C51" s="193">
        <v>45586</v>
      </c>
      <c r="D51" s="202">
        <v>106.34</v>
      </c>
      <c r="E51" s="204">
        <f t="shared" si="28"/>
        <v>9.377344336084021E-3</v>
      </c>
      <c r="F51" s="204">
        <f t="shared" si="29"/>
        <v>-2.1950286050971331E-2</v>
      </c>
      <c r="G51" s="204"/>
      <c r="H51" s="204"/>
      <c r="I51" s="186"/>
      <c r="J51" s="186"/>
      <c r="K51" s="188"/>
      <c r="L51" s="189"/>
    </row>
    <row r="52" spans="2:12">
      <c r="B52" s="186"/>
      <c r="C52" s="193">
        <v>45587</v>
      </c>
      <c r="D52" s="202">
        <v>106.64</v>
      </c>
      <c r="E52" s="204">
        <f t="shared" si="28"/>
        <v>9.4002632073698061E-3</v>
      </c>
      <c r="F52" s="204">
        <f t="shared" si="29"/>
        <v>2.8171677942608322E-3</v>
      </c>
      <c r="G52" s="204"/>
      <c r="H52" s="204"/>
      <c r="I52" s="186"/>
      <c r="J52" s="186"/>
      <c r="K52" s="188"/>
      <c r="L52" s="189"/>
    </row>
    <row r="53" spans="2:12">
      <c r="B53" s="186"/>
      <c r="C53" s="193">
        <v>45588</v>
      </c>
      <c r="D53" s="202">
        <v>106.38</v>
      </c>
      <c r="E53" s="204">
        <f t="shared" si="28"/>
        <v>9.4446543256516812E-3</v>
      </c>
      <c r="F53" s="204">
        <f t="shared" si="29"/>
        <v>-2.4410865562817441E-3</v>
      </c>
      <c r="G53" s="204"/>
      <c r="H53" s="204"/>
      <c r="I53" s="186"/>
      <c r="J53" s="186"/>
      <c r="K53" s="188"/>
      <c r="L53" s="189"/>
    </row>
    <row r="54" spans="2:12">
      <c r="B54" s="186"/>
      <c r="C54" s="193">
        <v>45589</v>
      </c>
      <c r="D54" s="202">
        <v>105.88</v>
      </c>
      <c r="E54" s="204">
        <f t="shared" si="28"/>
        <v>9.6172340834775917E-3</v>
      </c>
      <c r="F54" s="204">
        <f t="shared" si="29"/>
        <v>-4.7112119552709759E-3</v>
      </c>
      <c r="G54" s="204"/>
      <c r="H54" s="204"/>
      <c r="I54" s="186"/>
      <c r="J54" s="186"/>
      <c r="K54" s="188"/>
      <c r="L54" s="189"/>
    </row>
    <row r="55" spans="2:12">
      <c r="B55" s="186"/>
      <c r="C55" s="193">
        <v>45590</v>
      </c>
      <c r="D55" s="202">
        <v>103.98</v>
      </c>
      <c r="E55" s="204">
        <f t="shared" si="28"/>
        <v>2.8782500239854167E-2</v>
      </c>
      <c r="F55" s="204">
        <f t="shared" si="29"/>
        <v>-1.8107804403330739E-2</v>
      </c>
      <c r="G55" s="204"/>
      <c r="H55" s="204"/>
      <c r="I55" s="186"/>
      <c r="J55" s="186"/>
      <c r="K55" s="188"/>
      <c r="L55" s="189"/>
    </row>
    <row r="56" spans="2:12">
      <c r="B56" s="186"/>
      <c r="C56" s="193">
        <v>45593</v>
      </c>
      <c r="D56" s="202">
        <v>104.23</v>
      </c>
      <c r="E56" s="204">
        <f t="shared" si="28"/>
        <v>9.6404126096596935E-3</v>
      </c>
      <c r="F56" s="204">
        <f t="shared" si="29"/>
        <v>2.4014227956611809E-3</v>
      </c>
      <c r="G56" s="204"/>
      <c r="H56" s="204"/>
      <c r="I56" s="186"/>
      <c r="J56" s="186"/>
      <c r="K56" s="188"/>
      <c r="L56" s="189"/>
    </row>
    <row r="57" spans="2:12">
      <c r="B57" s="186"/>
      <c r="C57" s="193">
        <v>45594</v>
      </c>
      <c r="D57" s="202">
        <v>103.73</v>
      </c>
      <c r="E57" s="204">
        <f t="shared" si="28"/>
        <v>9.5392540303348271E-3</v>
      </c>
      <c r="F57" s="204">
        <f t="shared" si="29"/>
        <v>-4.8086263074941975E-3</v>
      </c>
      <c r="G57" s="204"/>
      <c r="H57" s="204"/>
      <c r="I57" s="186"/>
      <c r="J57" s="186"/>
      <c r="K57" s="188"/>
      <c r="L57" s="189"/>
    </row>
    <row r="58" spans="2:12">
      <c r="B58" s="186"/>
      <c r="C58" s="193">
        <v>45595</v>
      </c>
      <c r="D58" s="202">
        <v>104.83</v>
      </c>
      <c r="E58" s="204">
        <f t="shared" si="28"/>
        <v>9.7732603596559827E-3</v>
      </c>
      <c r="F58" s="204">
        <f t="shared" si="29"/>
        <v>1.0548621020744541E-2</v>
      </c>
      <c r="G58" s="204"/>
      <c r="H58" s="204"/>
      <c r="I58" s="186"/>
      <c r="J58" s="186"/>
      <c r="K58" s="188"/>
      <c r="L58" s="189"/>
    </row>
    <row r="59" spans="2:12">
      <c r="B59" s="186"/>
      <c r="C59" s="193">
        <v>45596</v>
      </c>
      <c r="D59" s="202">
        <v>102.32</v>
      </c>
      <c r="E59" s="204">
        <f t="shared" si="28"/>
        <v>9.8154691794267775E-3</v>
      </c>
      <c r="F59" s="204">
        <f t="shared" si="29"/>
        <v>-2.4234833193894113E-2</v>
      </c>
      <c r="G59" s="204"/>
      <c r="H59" s="204"/>
      <c r="I59" s="186"/>
      <c r="J59" s="186"/>
      <c r="K59" s="188"/>
      <c r="L59" s="189"/>
    </row>
    <row r="60" spans="2:12">
      <c r="B60" s="186"/>
      <c r="C60" s="193">
        <v>45597</v>
      </c>
      <c r="D60" s="202">
        <v>101.88</v>
      </c>
      <c r="E60" s="204">
        <f t="shared" si="28"/>
        <v>2.9449298125061352E-2</v>
      </c>
      <c r="F60" s="204">
        <f t="shared" si="29"/>
        <v>-4.3095071593309327E-3</v>
      </c>
      <c r="G60" s="204"/>
      <c r="H60" s="204"/>
      <c r="I60" s="186"/>
      <c r="J60" s="186"/>
      <c r="K60" s="188"/>
      <c r="L60" s="189"/>
    </row>
    <row r="61" spans="2:12">
      <c r="B61" s="186"/>
      <c r="C61" s="193">
        <v>45600</v>
      </c>
      <c r="D61" s="202">
        <v>101.87</v>
      </c>
      <c r="E61" s="204">
        <f t="shared" si="28"/>
        <v>9.8376783079193297E-3</v>
      </c>
      <c r="F61" s="204">
        <f t="shared" si="29"/>
        <v>-9.8159509281196933E-5</v>
      </c>
      <c r="G61" s="204"/>
      <c r="H61" s="204"/>
      <c r="I61" s="186"/>
      <c r="J61" s="186"/>
      <c r="K61" s="188"/>
      <c r="L61" s="189"/>
    </row>
    <row r="62" spans="2:12">
      <c r="B62" s="186"/>
      <c r="C62" s="193">
        <v>45601</v>
      </c>
      <c r="D62" s="202">
        <v>101.65</v>
      </c>
      <c r="E62" s="204">
        <f t="shared" si="28"/>
        <v>9.0686496780629372E-3</v>
      </c>
      <c r="F62" s="204">
        <f t="shared" si="29"/>
        <v>-2.161950527619365E-3</v>
      </c>
      <c r="G62" s="204">
        <f t="shared" ref="G62:G70" si="30">_xlfn.STDEV.P(F40:F61)</f>
        <v>1.0414176684675891E-2</v>
      </c>
      <c r="H62" s="204">
        <f t="shared" ref="H62:H70" si="31">G62*SQRT(252)</f>
        <v>0.16531992970283718</v>
      </c>
      <c r="I62" s="186"/>
      <c r="J62" s="186"/>
      <c r="K62" s="188"/>
      <c r="L62" s="189"/>
    </row>
    <row r="63" spans="2:12">
      <c r="C63" s="193">
        <v>45602</v>
      </c>
      <c r="D63" s="203">
        <f t="shared" ref="D63:D70" si="32">D43</f>
        <v>110.27</v>
      </c>
      <c r="E63" s="206">
        <f t="shared" si="28"/>
        <v>9.140767824497258E-3</v>
      </c>
      <c r="F63" s="205">
        <f t="shared" si="29"/>
        <v>8.1396363696231488E-2</v>
      </c>
      <c r="G63" s="205">
        <f t="shared" si="30"/>
        <v>1.0178884966555416E-2</v>
      </c>
      <c r="H63" s="205">
        <f t="shared" si="31"/>
        <v>0.16158478947263788</v>
      </c>
    </row>
    <row r="64" spans="2:12">
      <c r="C64" s="193">
        <v>45603</v>
      </c>
      <c r="D64" s="203">
        <f t="shared" si="32"/>
        <v>109.4</v>
      </c>
      <c r="E64" s="206">
        <f t="shared" si="28"/>
        <v>9.1132780461131869E-3</v>
      </c>
      <c r="F64" s="205">
        <f t="shared" si="29"/>
        <v>-7.9210137827062516E-3</v>
      </c>
      <c r="G64" s="205">
        <f t="shared" si="30"/>
        <v>2.0277303809885582E-2</v>
      </c>
      <c r="H64" s="205">
        <f t="shared" si="31"/>
        <v>0.32189221883915881</v>
      </c>
    </row>
    <row r="65" spans="3:8">
      <c r="C65" s="193">
        <v>45604</v>
      </c>
      <c r="D65" s="203">
        <f t="shared" si="32"/>
        <v>109.73</v>
      </c>
      <c r="E65" s="206">
        <f t="shared" si="28"/>
        <v>2.7349803993071384E-2</v>
      </c>
      <c r="F65" s="205">
        <f t="shared" si="29"/>
        <v>3.0119130148268405E-3</v>
      </c>
      <c r="G65" s="205">
        <f t="shared" si="30"/>
        <v>2.0355694466108794E-2</v>
      </c>
      <c r="H65" s="205">
        <f t="shared" si="31"/>
        <v>0.32313663192802544</v>
      </c>
    </row>
    <row r="66" spans="3:8">
      <c r="C66" s="193">
        <v>45607</v>
      </c>
      <c r="D66" s="203">
        <f t="shared" si="32"/>
        <v>109.69</v>
      </c>
      <c r="E66" s="206">
        <f t="shared" si="28"/>
        <v>8.9661974356675337E-3</v>
      </c>
      <c r="F66" s="205">
        <f t="shared" si="29"/>
        <v>-3.6459757946500368E-4</v>
      </c>
      <c r="G66" s="205">
        <f t="shared" si="30"/>
        <v>2.0080314127860752E-2</v>
      </c>
      <c r="H66" s="205">
        <f t="shared" si="31"/>
        <v>0.31876510458225843</v>
      </c>
    </row>
    <row r="67" spans="3:8">
      <c r="C67" s="193">
        <v>45608</v>
      </c>
      <c r="D67" s="203">
        <f t="shared" si="32"/>
        <v>111.53</v>
      </c>
      <c r="E67" s="206">
        <f t="shared" si="28"/>
        <v>9.056330374932078E-3</v>
      </c>
      <c r="F67" s="205">
        <f t="shared" si="29"/>
        <v>1.6635407583202821E-2</v>
      </c>
      <c r="G67" s="205">
        <f t="shared" si="30"/>
        <v>2.001020838984446E-2</v>
      </c>
      <c r="H67" s="205">
        <f t="shared" si="31"/>
        <v>0.31765221049263992</v>
      </c>
    </row>
    <row r="68" spans="3:8">
      <c r="C68" s="193">
        <v>45609</v>
      </c>
      <c r="D68" s="203">
        <f t="shared" si="32"/>
        <v>110.42</v>
      </c>
      <c r="E68" s="206">
        <f t="shared" si="28"/>
        <v>9.1116173120728925E-3</v>
      </c>
      <c r="F68" s="205">
        <f t="shared" si="29"/>
        <v>-1.0002336150547016E-2</v>
      </c>
      <c r="G68" s="205">
        <f t="shared" si="30"/>
        <v>2.0298830907505491E-2</v>
      </c>
      <c r="H68" s="205">
        <f t="shared" si="31"/>
        <v>0.32223395091966656</v>
      </c>
    </row>
    <row r="69" spans="3:8">
      <c r="C69" s="193">
        <v>45610</v>
      </c>
      <c r="D69" s="203">
        <f t="shared" si="32"/>
        <v>109.75</v>
      </c>
      <c r="E69" s="206">
        <f t="shared" si="28"/>
        <v>9.1996320147194107E-3</v>
      </c>
      <c r="F69" s="205">
        <f t="shared" si="29"/>
        <v>-6.0862249006177959E-3</v>
      </c>
      <c r="G69" s="205">
        <f t="shared" si="30"/>
        <v>2.042156091420504E-2</v>
      </c>
      <c r="H69" s="205">
        <f t="shared" si="31"/>
        <v>0.3241822293764603</v>
      </c>
    </row>
    <row r="70" spans="3:8">
      <c r="C70" s="193">
        <v>45611</v>
      </c>
      <c r="D70" s="203">
        <f t="shared" si="32"/>
        <v>108.7</v>
      </c>
      <c r="E70" s="206">
        <v>0</v>
      </c>
      <c r="F70" s="205">
        <f t="shared" si="29"/>
        <v>-9.6132578281169171E-3</v>
      </c>
      <c r="G70" s="205">
        <f t="shared" si="30"/>
        <v>2.0142021890293248E-2</v>
      </c>
      <c r="H70" s="205">
        <f t="shared" si="31"/>
        <v>0.31974468494241026</v>
      </c>
    </row>
  </sheetData>
  <mergeCells count="3">
    <mergeCell ref="B4:AC6"/>
    <mergeCell ref="B20:AC22"/>
    <mergeCell ref="B37:K3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42FEA2-B5B6-45A9-81D7-ED779115B322}">
  <dimension ref="B4:AC70"/>
  <sheetViews>
    <sheetView showGridLines="0" topLeftCell="L4" zoomScale="79" zoomScaleNormal="98" workbookViewId="0">
      <selection activeCell="N24" sqref="N24"/>
    </sheetView>
  </sheetViews>
  <sheetFormatPr defaultColWidth="8.85546875" defaultRowHeight="13.9"/>
  <cols>
    <col min="1" max="1" width="4.140625" style="9" customWidth="1"/>
    <col min="2" max="2" width="32.5703125" style="9" bestFit="1" customWidth="1"/>
    <col min="3" max="3" width="30" style="9" bestFit="1" customWidth="1"/>
    <col min="4" max="4" width="13.42578125" style="9" bestFit="1" customWidth="1"/>
    <col min="5" max="5" width="14.7109375" style="9" bestFit="1" customWidth="1"/>
    <col min="6" max="6" width="13.140625" style="9" bestFit="1" customWidth="1"/>
    <col min="7" max="9" width="8.85546875" style="9"/>
    <col min="10" max="10" width="16.5703125" style="9" bestFit="1" customWidth="1"/>
    <col min="11" max="11" width="18.28515625" style="9" customWidth="1"/>
    <col min="12" max="12" width="13.7109375" style="9" customWidth="1"/>
    <col min="13" max="13" width="24.7109375" style="9" customWidth="1"/>
    <col min="14" max="15" width="8.85546875" style="9"/>
    <col min="16" max="16" width="16.5703125" style="9" bestFit="1" customWidth="1"/>
    <col min="17" max="17" width="23.7109375" style="9" customWidth="1"/>
    <col min="18" max="18" width="17" style="9" customWidth="1"/>
    <col min="19" max="19" width="22.5703125" style="9" customWidth="1"/>
    <col min="20" max="21" width="15.28515625" style="9" bestFit="1" customWidth="1"/>
    <col min="22" max="22" width="15.28515625" style="9" customWidth="1"/>
    <col min="23" max="23" width="15.28515625" style="9" bestFit="1" customWidth="1"/>
    <col min="24" max="24" width="16.5703125" style="9" bestFit="1" customWidth="1"/>
    <col min="25" max="25" width="15.28515625" style="9" bestFit="1" customWidth="1"/>
    <col min="26" max="26" width="19.42578125" style="9" bestFit="1" customWidth="1"/>
    <col min="27" max="27" width="15.28515625" style="9" customWidth="1"/>
    <col min="28" max="28" width="32.5703125" style="9" bestFit="1" customWidth="1"/>
    <col min="29" max="29" width="20.42578125" style="9" bestFit="1" customWidth="1"/>
    <col min="30" max="16384" width="8.85546875" style="9"/>
  </cols>
  <sheetData>
    <row r="4" spans="2:29" ht="13.9" customHeight="1">
      <c r="B4" s="437" t="s">
        <v>259</v>
      </c>
      <c r="C4" s="437"/>
      <c r="D4" s="437"/>
      <c r="E4" s="437"/>
      <c r="F4" s="437"/>
      <c r="G4" s="437"/>
      <c r="H4" s="437"/>
      <c r="I4" s="437"/>
      <c r="J4" s="437"/>
      <c r="K4" s="437"/>
      <c r="L4" s="437"/>
      <c r="M4" s="437"/>
      <c r="N4" s="437"/>
      <c r="O4" s="437"/>
      <c r="P4" s="437"/>
      <c r="Q4" s="437"/>
      <c r="R4" s="437"/>
      <c r="S4" s="437"/>
      <c r="T4" s="437"/>
      <c r="U4" s="437"/>
      <c r="V4" s="437"/>
      <c r="W4" s="437"/>
      <c r="X4" s="437"/>
      <c r="Y4" s="437"/>
      <c r="Z4" s="437"/>
      <c r="AA4" s="437"/>
      <c r="AB4" s="437"/>
      <c r="AC4" s="437"/>
    </row>
    <row r="5" spans="2:29" ht="13.9" customHeight="1">
      <c r="B5" s="437"/>
      <c r="C5" s="437"/>
      <c r="D5" s="437"/>
      <c r="E5" s="437"/>
      <c r="F5" s="437"/>
      <c r="G5" s="437"/>
      <c r="H5" s="437"/>
      <c r="I5" s="437"/>
      <c r="J5" s="437"/>
      <c r="K5" s="437"/>
      <c r="L5" s="437"/>
      <c r="M5" s="437"/>
      <c r="N5" s="437"/>
      <c r="O5" s="437"/>
      <c r="P5" s="437"/>
      <c r="Q5" s="437"/>
      <c r="R5" s="437"/>
      <c r="S5" s="437"/>
      <c r="T5" s="437"/>
      <c r="U5" s="437"/>
      <c r="V5" s="437"/>
      <c r="W5" s="437"/>
      <c r="X5" s="437"/>
      <c r="Y5" s="437"/>
      <c r="Z5" s="437"/>
      <c r="AA5" s="437"/>
      <c r="AB5" s="437"/>
      <c r="AC5" s="437"/>
    </row>
    <row r="6" spans="2:29" ht="13.9" customHeight="1">
      <c r="B6" s="437"/>
      <c r="C6" s="437"/>
      <c r="D6" s="437"/>
      <c r="E6" s="437"/>
      <c r="F6" s="437"/>
      <c r="G6" s="437"/>
      <c r="H6" s="437"/>
      <c r="I6" s="437"/>
      <c r="J6" s="437"/>
      <c r="K6" s="437"/>
      <c r="L6" s="437"/>
      <c r="M6" s="437"/>
      <c r="N6" s="437"/>
      <c r="O6" s="437"/>
      <c r="P6" s="437"/>
      <c r="Q6" s="437"/>
      <c r="R6" s="437"/>
      <c r="S6" s="437"/>
      <c r="T6" s="437"/>
      <c r="U6" s="437"/>
      <c r="V6" s="437"/>
      <c r="W6" s="437"/>
      <c r="X6" s="437"/>
      <c r="Y6" s="437"/>
      <c r="Z6" s="437"/>
      <c r="AA6" s="437"/>
      <c r="AB6" s="437"/>
      <c r="AC6" s="437"/>
    </row>
    <row r="7" spans="2:29" ht="41.45">
      <c r="B7" s="181" t="s">
        <v>223</v>
      </c>
      <c r="C7" s="181" t="s">
        <v>38</v>
      </c>
      <c r="D7" s="182" t="s">
        <v>33</v>
      </c>
      <c r="E7" s="182" t="s">
        <v>260</v>
      </c>
      <c r="F7" s="182" t="s">
        <v>4</v>
      </c>
      <c r="G7" s="182" t="s">
        <v>225</v>
      </c>
      <c r="H7" s="181" t="s">
        <v>6</v>
      </c>
      <c r="I7" s="181" t="s">
        <v>7</v>
      </c>
      <c r="J7" s="182" t="s">
        <v>210</v>
      </c>
      <c r="K7" s="182" t="s">
        <v>211</v>
      </c>
      <c r="L7" s="182" t="s">
        <v>220</v>
      </c>
      <c r="M7" s="183" t="s">
        <v>11</v>
      </c>
      <c r="N7" s="181" t="s">
        <v>213</v>
      </c>
      <c r="O7" s="181" t="s">
        <v>214</v>
      </c>
      <c r="P7" s="181" t="s">
        <v>40</v>
      </c>
      <c r="Q7" s="211" t="s">
        <v>261</v>
      </c>
      <c r="R7" s="182" t="s">
        <v>262</v>
      </c>
      <c r="S7" s="182" t="s">
        <v>217</v>
      </c>
      <c r="T7" s="184" t="s">
        <v>218</v>
      </c>
      <c r="U7" s="184" t="s">
        <v>229</v>
      </c>
      <c r="V7" s="184" t="s">
        <v>251</v>
      </c>
      <c r="W7" s="184" t="s">
        <v>252</v>
      </c>
      <c r="X7" s="184" t="s">
        <v>230</v>
      </c>
      <c r="Y7" s="184" t="s">
        <v>253</v>
      </c>
      <c r="Z7" s="184" t="s">
        <v>263</v>
      </c>
      <c r="AA7" s="184" t="s">
        <v>235</v>
      </c>
      <c r="AB7" s="184" t="s">
        <v>255</v>
      </c>
      <c r="AC7" s="184" t="s">
        <v>256</v>
      </c>
    </row>
    <row r="8" spans="2:29" ht="14.45">
      <c r="B8" s="207">
        <f>'Bloomberg Raw Data- all volumes'!A87</f>
        <v>45601</v>
      </c>
      <c r="C8" s="58" t="str">
        <f>'Bloomberg Raw Data- all volumes'!C87</f>
        <v>MRK 11/15/24 C102</v>
      </c>
      <c r="D8" s="56">
        <f>'Bloomberg Raw Data- all volumes'!I87</f>
        <v>101.65</v>
      </c>
      <c r="E8" s="75">
        <f>LN(D8/D61)</f>
        <v>-2.161950527619365E-3</v>
      </c>
      <c r="F8" s="208">
        <f>'Bloomberg Raw Data- all volumes'!B87</f>
        <v>102</v>
      </c>
      <c r="G8" s="56">
        <f>'Bloomberg Raw Data- all volumes'!F87</f>
        <v>1.6900005340576201</v>
      </c>
      <c r="H8" s="56">
        <f>'Bloomberg Raw Data- all volumes'!D87</f>
        <v>1.5999994277954099</v>
      </c>
      <c r="I8" s="56">
        <f>'Bloomberg Raw Data- all volumes'!E87</f>
        <v>1.65999984741211</v>
      </c>
      <c r="J8" s="71">
        <f>'Q1-(Without Zero Volume)'!J4</f>
        <v>4.6974999999999996E-2</v>
      </c>
      <c r="K8" s="72">
        <v>3.1099999999999999E-2</v>
      </c>
      <c r="L8" s="212">
        <f>8/252</f>
        <v>3.1746031746031744E-2</v>
      </c>
      <c r="M8" s="74">
        <f>(H8+I8)/2</f>
        <v>1.62999963760376</v>
      </c>
      <c r="N8" s="75">
        <f t="shared" ref="N8:N16" si="0">(LN(D8/F8) + ((J8+ (Q8^2) / 2)*L8) / (Q8*SQRT(L8)))</f>
        <v>5.2843403286989901E-2</v>
      </c>
      <c r="O8" s="75">
        <f t="shared" ref="O8:O16" si="1" xml:space="preserve"> N8 - Q8*SQRT(L8)</f>
        <v>1.0163273264753539E-2</v>
      </c>
      <c r="P8" s="75">
        <v>100</v>
      </c>
      <c r="Q8" s="76">
        <v>0.23954163564925943</v>
      </c>
      <c r="R8" s="77">
        <f t="shared" ref="R8:R16" si="2">D8*_xlfn.NORM.S.DIST(N8,TRUE) - F8*EXP(-J8*L8)*_xlfn.NORM.S.DIST(O8,TRUE)</f>
        <v>1.6299906987685588</v>
      </c>
      <c r="S8" s="78">
        <f>'Bloomberg Raw Data- all volumes'!G87</f>
        <v>0.25288133621215797</v>
      </c>
      <c r="T8" s="79">
        <f>M8-R8</f>
        <v>8.9388352011443573E-6</v>
      </c>
      <c r="U8" s="185">
        <f>_xlfn.NORM.S.DIST(N8,TRUE)</f>
        <v>0.52107166051584941</v>
      </c>
      <c r="V8" s="185">
        <v>0</v>
      </c>
      <c r="W8" s="209">
        <f>D8-D61</f>
        <v>-0.21999999999999886</v>
      </c>
      <c r="X8" s="185">
        <f>U8*P8</f>
        <v>52.10716605158494</v>
      </c>
      <c r="Y8" s="185">
        <f>X8*W8</f>
        <v>-11.463576531348627</v>
      </c>
      <c r="Z8" s="185">
        <f>Y8</f>
        <v>-11.463576531348627</v>
      </c>
      <c r="AA8" s="185"/>
      <c r="AB8" s="209">
        <f>F8-D8</f>
        <v>0.34999999999999432</v>
      </c>
      <c r="AC8" s="209">
        <f>AB8+Y8</f>
        <v>-11.113576531348633</v>
      </c>
    </row>
    <row r="9" spans="2:29" ht="14.45">
      <c r="B9" s="207">
        <f>'Bloomberg Raw Data- all volumes'!A88</f>
        <v>45602</v>
      </c>
      <c r="C9" s="58" t="str">
        <f>'Bloomberg Raw Data- all volumes'!C88</f>
        <v>MRK 11/15/24 C102</v>
      </c>
      <c r="D9" s="56">
        <f>'Bloomberg Raw Data- all volumes'!I88</f>
        <v>100.73</v>
      </c>
      <c r="E9" s="75">
        <f>LN(D9/D62)</f>
        <v>-9.0918701197659074E-3</v>
      </c>
      <c r="F9" s="208">
        <f>'Bloomberg Raw Data- all volumes'!B88</f>
        <v>102</v>
      </c>
      <c r="G9" s="56">
        <f>'Bloomberg Raw Data- all volumes'!F88</f>
        <v>0.87000000476837203</v>
      </c>
      <c r="H9" s="56">
        <f>'Bloomberg Raw Data- all volumes'!D88</f>
        <v>0.730000019073486</v>
      </c>
      <c r="I9" s="56">
        <f>'Bloomberg Raw Data- all volumes'!E88</f>
        <v>0.91000002622604403</v>
      </c>
      <c r="J9" s="71">
        <f>'Q1-(Without Zero Volume)'!J5</f>
        <v>4.6974999999999996E-2</v>
      </c>
      <c r="K9" s="72">
        <v>3.1099999999999999E-2</v>
      </c>
      <c r="L9" s="73">
        <f>7/252</f>
        <v>2.7777777777777776E-2</v>
      </c>
      <c r="M9" s="74">
        <f t="shared" ref="M9:M16" si="3">(H9+I9)/2</f>
        <v>0.82000002264976501</v>
      </c>
      <c r="N9" s="75">
        <f t="shared" si="0"/>
        <v>4.2453601119826753E-2</v>
      </c>
      <c r="O9" s="75">
        <f t="shared" si="1"/>
        <v>7.8026043811695589E-3</v>
      </c>
      <c r="P9" s="75">
        <v>100</v>
      </c>
      <c r="Q9" s="76">
        <v>0.20790598043194317</v>
      </c>
      <c r="R9" s="77">
        <f t="shared" si="2"/>
        <v>0.81992230084165385</v>
      </c>
      <c r="S9" s="78">
        <f>'Bloomberg Raw Data- all volumes'!G88</f>
        <v>0.179776229858398</v>
      </c>
      <c r="T9" s="79">
        <f t="shared" ref="T9:T16" si="4">M9-R9</f>
        <v>7.7721808111164137E-5</v>
      </c>
      <c r="U9" s="185">
        <f t="shared" ref="U9:U16" si="5">_xlfn.NORM.S.DIST(N9,TRUE)</f>
        <v>0.51693145034052779</v>
      </c>
      <c r="V9" s="185">
        <f t="shared" ref="V9:V16" si="6">U9-U8</f>
        <v>-4.1402101753216236E-3</v>
      </c>
      <c r="W9" s="209">
        <f>D9-D8</f>
        <v>-0.92000000000000171</v>
      </c>
      <c r="X9" s="185">
        <f>U9*P9</f>
        <v>51.693145034052776</v>
      </c>
      <c r="Y9" s="185">
        <f>X9*W9</f>
        <v>-47.557693431328644</v>
      </c>
      <c r="Z9" s="185">
        <f>Y9+Z8</f>
        <v>-59.021269962677273</v>
      </c>
      <c r="AA9" s="185"/>
      <c r="AB9" s="209">
        <f>F9-D9</f>
        <v>1.269999999999996</v>
      </c>
      <c r="AC9" s="209">
        <f t="shared" ref="AC9:AC16" si="7">AB9+Y9</f>
        <v>-46.287693431328648</v>
      </c>
    </row>
    <row r="10" spans="2:29" ht="14.45">
      <c r="B10" s="207">
        <f>'Bloomberg Raw Data- all volumes'!A89</f>
        <v>45603</v>
      </c>
      <c r="C10" s="58" t="str">
        <f>'Bloomberg Raw Data- all volumes'!C89</f>
        <v>MRK 11/15/24 C102</v>
      </c>
      <c r="D10" s="56">
        <f>'Bloomberg Raw Data- all volumes'!I89</f>
        <v>101.17</v>
      </c>
      <c r="E10" s="75">
        <f>LN(D10/D63)</f>
        <v>-8.612963355278809E-2</v>
      </c>
      <c r="F10" s="208">
        <f>'Bloomberg Raw Data- all volumes'!B89</f>
        <v>102</v>
      </c>
      <c r="G10" s="56">
        <f>'Bloomberg Raw Data- all volumes'!F89</f>
        <v>0.93000000715255704</v>
      </c>
      <c r="H10" s="56">
        <f>'Bloomberg Raw Data- all volumes'!D89</f>
        <v>0.87999999523162797</v>
      </c>
      <c r="I10" s="56">
        <f>'Bloomberg Raw Data- all volumes'!E89</f>
        <v>1.5</v>
      </c>
      <c r="J10" s="71">
        <f>'Q1-(Without Zero Volume)'!J6</f>
        <v>4.6974999999999996E-2</v>
      </c>
      <c r="K10" s="72">
        <v>3.1099999999999999E-2</v>
      </c>
      <c r="L10" s="73">
        <f>6/252</f>
        <v>2.3809523809523808E-2</v>
      </c>
      <c r="M10" s="74">
        <f t="shared" si="3"/>
        <v>1.189999997615814</v>
      </c>
      <c r="N10" s="75">
        <f t="shared" si="0"/>
        <v>4.2277965378571848E-2</v>
      </c>
      <c r="O10" s="75">
        <f t="shared" si="1"/>
        <v>9.3835801649772288E-3</v>
      </c>
      <c r="P10" s="75">
        <v>100</v>
      </c>
      <c r="Q10" s="76">
        <v>0.21317998100284838</v>
      </c>
      <c r="R10" s="77">
        <f t="shared" si="2"/>
        <v>0.96647626691181188</v>
      </c>
      <c r="S10" s="78">
        <f>'Bloomberg Raw Data- all volumes'!G89</f>
        <v>0.23807672500610402</v>
      </c>
      <c r="T10" s="79">
        <f t="shared" si="4"/>
        <v>0.22352373070400211</v>
      </c>
      <c r="U10" s="185">
        <f t="shared" si="5"/>
        <v>0.51686144467085438</v>
      </c>
      <c r="V10" s="185">
        <f t="shared" si="6"/>
        <v>-7.000566967341193E-5</v>
      </c>
      <c r="W10" s="209">
        <f t="shared" ref="W10:W16" si="8">D10-D9</f>
        <v>0.43999999999999773</v>
      </c>
      <c r="X10" s="185">
        <f t="shared" ref="X10:X16" si="9">U10*P10</f>
        <v>51.686144467085441</v>
      </c>
      <c r="Y10" s="185">
        <f t="shared" ref="Y10:Y16" si="10">X10*W10</f>
        <v>22.741903565517475</v>
      </c>
      <c r="Z10" s="185">
        <f>Z9+Y10</f>
        <v>-36.279366397159798</v>
      </c>
      <c r="AA10" s="185"/>
      <c r="AB10" s="209">
        <f t="shared" ref="AB10:AB16" si="11">F10-D10</f>
        <v>0.82999999999999829</v>
      </c>
      <c r="AC10" s="209">
        <f t="shared" si="7"/>
        <v>23.571903565517474</v>
      </c>
    </row>
    <row r="11" spans="2:29" ht="14.45">
      <c r="B11" s="207">
        <f>'Bloomberg Raw Data- all volumes'!A90</f>
        <v>45604</v>
      </c>
      <c r="C11" s="58" t="str">
        <f>'Bloomberg Raw Data- all volumes'!C90</f>
        <v>MRK 11/15/24 C102</v>
      </c>
      <c r="D11" s="56">
        <f>'Bloomberg Raw Data- all volumes'!I90</f>
        <v>102.92</v>
      </c>
      <c r="E11" s="75">
        <f>LN(D11/D64)</f>
        <v>-6.1058902574337472E-2</v>
      </c>
      <c r="F11" s="208">
        <f>'Bloomberg Raw Data- all volumes'!B90</f>
        <v>102</v>
      </c>
      <c r="G11" s="56">
        <f>'Bloomberg Raw Data- all volumes'!F90</f>
        <v>1.69999980926514</v>
      </c>
      <c r="H11" s="56">
        <f>'Bloomberg Raw Data- all volumes'!D90</f>
        <v>1.57999992370605</v>
      </c>
      <c r="I11" s="56">
        <f>'Bloomberg Raw Data- all volumes'!E90</f>
        <v>2.1400003433227499</v>
      </c>
      <c r="J11" s="71">
        <f>'Q1-(Without Zero Volume)'!J7</f>
        <v>4.6974999999999996E-2</v>
      </c>
      <c r="K11" s="72">
        <v>3.1099999999999999E-2</v>
      </c>
      <c r="L11" s="73">
        <f>5/252</f>
        <v>1.984126984126984E-2</v>
      </c>
      <c r="M11" s="74">
        <f t="shared" si="3"/>
        <v>1.8600001335143999</v>
      </c>
      <c r="N11" s="75">
        <f t="shared" si="0"/>
        <v>5.6848346348296851E-2</v>
      </c>
      <c r="O11" s="75">
        <f t="shared" si="1"/>
        <v>2.9652111688974053E-2</v>
      </c>
      <c r="P11" s="75">
        <v>100</v>
      </c>
      <c r="Q11" s="80">
        <v>0.19307411285334322</v>
      </c>
      <c r="R11" s="77">
        <f t="shared" si="2"/>
        <v>1.6350932994801255</v>
      </c>
      <c r="S11" s="78">
        <f>'Bloomberg Raw Data- all volumes'!G90</f>
        <v>0.22628730773925798</v>
      </c>
      <c r="T11" s="79">
        <f t="shared" si="4"/>
        <v>0.22490683403427436</v>
      </c>
      <c r="U11" s="185">
        <f t="shared" si="5"/>
        <v>0.52266699931830951</v>
      </c>
      <c r="V11" s="185">
        <f t="shared" si="6"/>
        <v>5.8055546474551356E-3</v>
      </c>
      <c r="W11" s="209">
        <f t="shared" si="8"/>
        <v>1.75</v>
      </c>
      <c r="X11" s="185">
        <f t="shared" si="9"/>
        <v>52.266699931830949</v>
      </c>
      <c r="Y11" s="185">
        <f t="shared" si="10"/>
        <v>91.466724880704163</v>
      </c>
      <c r="Z11" s="185">
        <f>Z10+Y11</f>
        <v>55.187358483544365</v>
      </c>
      <c r="AA11" s="185"/>
      <c r="AB11" s="209">
        <f t="shared" si="11"/>
        <v>-0.92000000000000171</v>
      </c>
      <c r="AC11" s="209">
        <f t="shared" si="7"/>
        <v>90.546724880704161</v>
      </c>
    </row>
    <row r="12" spans="2:29" ht="14.45">
      <c r="B12" s="207">
        <f>'Bloomberg Raw Data- all volumes'!A93</f>
        <v>45607</v>
      </c>
      <c r="C12" s="58" t="str">
        <f>'Bloomberg Raw Data- all volumes'!C93</f>
        <v>MRK 11/15/24 C102</v>
      </c>
      <c r="D12" s="56">
        <f>'Bloomberg Raw Data- all volumes'!I93</f>
        <v>100.73</v>
      </c>
      <c r="E12" s="75">
        <f>LN(D12/D67)</f>
        <v>-0.10184994305185577</v>
      </c>
      <c r="F12" s="208">
        <f>'Bloomberg Raw Data- all volumes'!B93</f>
        <v>102</v>
      </c>
      <c r="G12" s="56">
        <f>'Bloomberg Raw Data- all volumes'!F93</f>
        <v>0.41000002622604398</v>
      </c>
      <c r="H12" s="56">
        <f>'Bloomberg Raw Data- all volumes'!D93</f>
        <v>0.34000003337860102</v>
      </c>
      <c r="I12" s="56">
        <f>'Bloomberg Raw Data- all volumes'!E93</f>
        <v>0.56999999284744296</v>
      </c>
      <c r="J12" s="71">
        <f>'Q1-(Without Zero Volume)'!J10</f>
        <v>4.6974999999999996E-2</v>
      </c>
      <c r="K12" s="72">
        <v>3.1099999999999999E-2</v>
      </c>
      <c r="L12" s="73">
        <f>4/252</f>
        <v>1.5873015873015872E-2</v>
      </c>
      <c r="M12" s="74">
        <f t="shared" si="3"/>
        <v>0.45500001311302196</v>
      </c>
      <c r="N12" s="75">
        <f t="shared" si="0"/>
        <v>2.9021556065884389E-2</v>
      </c>
      <c r="O12" s="75">
        <f t="shared" si="1"/>
        <v>2.8067876492590821E-3</v>
      </c>
      <c r="P12" s="75">
        <v>100</v>
      </c>
      <c r="Q12" s="80">
        <v>0.20807327372262308</v>
      </c>
      <c r="R12" s="77">
        <f t="shared" si="2"/>
        <v>0.45496513882974199</v>
      </c>
      <c r="S12" s="78">
        <f>'Bloomberg Raw Data- all volumes'!G91</f>
        <v>0.22628730773925798</v>
      </c>
      <c r="T12" s="79">
        <f t="shared" si="4"/>
        <v>3.4874283279973106E-5</v>
      </c>
      <c r="U12" s="185">
        <f t="shared" si="5"/>
        <v>0.51157630071032112</v>
      </c>
      <c r="V12" s="185">
        <f t="shared" si="6"/>
        <v>-1.1090698607988392E-2</v>
      </c>
      <c r="W12" s="209">
        <f t="shared" si="8"/>
        <v>-2.1899999999999977</v>
      </c>
      <c r="X12" s="185">
        <f t="shared" si="9"/>
        <v>51.157630071032109</v>
      </c>
      <c r="Y12" s="185">
        <f t="shared" si="10"/>
        <v>-112.0352098555602</v>
      </c>
      <c r="Z12" s="185">
        <f t="shared" ref="Z12:Z16" si="12">Z11+Y12</f>
        <v>-56.847851372015832</v>
      </c>
      <c r="AA12" s="185"/>
      <c r="AB12" s="209">
        <f t="shared" si="11"/>
        <v>1.269999999999996</v>
      </c>
      <c r="AC12" s="209">
        <f t="shared" si="7"/>
        <v>-110.7652098555602</v>
      </c>
    </row>
    <row r="13" spans="2:29" ht="14.45">
      <c r="B13" s="207">
        <f>'Bloomberg Raw Data- all volumes'!A94</f>
        <v>45608</v>
      </c>
      <c r="C13" s="58" t="str">
        <f>'Bloomberg Raw Data- all volumes'!C94</f>
        <v>MRK 11/15/24 C102</v>
      </c>
      <c r="D13" s="56">
        <f>'Bloomberg Raw Data- all volumes'!I94</f>
        <v>98.58</v>
      </c>
      <c r="E13" s="75">
        <f>LN(D13/D68)</f>
        <v>-0.11342287557866687</v>
      </c>
      <c r="F13" s="208">
        <f>'Bloomberg Raw Data- all volumes'!B94</f>
        <v>102</v>
      </c>
      <c r="G13" s="56">
        <f>'Bloomberg Raw Data- all volumes'!F94</f>
        <v>7.9999983310699505E-2</v>
      </c>
      <c r="H13" s="56">
        <f>'Bloomberg Raw Data- all volumes'!D94</f>
        <v>7.9999983310699505E-2</v>
      </c>
      <c r="I13" s="56">
        <f>'Bloomberg Raw Data- all volumes'!E94</f>
        <v>0.110000014305115</v>
      </c>
      <c r="J13" s="71">
        <f>'Q1-(Without Zero Volume)'!J11</f>
        <v>4.6974999999999996E-2</v>
      </c>
      <c r="K13" s="72">
        <v>3.1099999999999999E-2</v>
      </c>
      <c r="L13" s="73">
        <f>3/252</f>
        <v>1.1904761904761904E-2</v>
      </c>
      <c r="M13" s="74">
        <f t="shared" si="3"/>
        <v>9.4999998807907243E-2</v>
      </c>
      <c r="N13" s="75">
        <f t="shared" si="0"/>
        <v>5.4510033947492015E-4</v>
      </c>
      <c r="O13" s="75">
        <f t="shared" si="1"/>
        <v>-4.3167321302561887E-2</v>
      </c>
      <c r="P13" s="75">
        <v>100</v>
      </c>
      <c r="Q13" s="80">
        <v>0.40063096196891906</v>
      </c>
      <c r="R13" s="77">
        <f t="shared" si="2"/>
        <v>9.4992494736352739E-2</v>
      </c>
      <c r="S13" s="78">
        <f>'Bloomberg Raw Data- all volumes'!G92</f>
        <v>0.22628730773925798</v>
      </c>
      <c r="T13" s="79">
        <f t="shared" si="4"/>
        <v>7.5040715545038328E-6</v>
      </c>
      <c r="U13" s="185">
        <f t="shared" si="5"/>
        <v>0.50021746356170838</v>
      </c>
      <c r="V13" s="185">
        <f t="shared" si="6"/>
        <v>-1.1358837148612744E-2</v>
      </c>
      <c r="W13" s="209">
        <f t="shared" si="8"/>
        <v>-2.1500000000000057</v>
      </c>
      <c r="X13" s="185">
        <f t="shared" si="9"/>
        <v>50.021746356170837</v>
      </c>
      <c r="Y13" s="185">
        <f t="shared" si="10"/>
        <v>-107.54675466576758</v>
      </c>
      <c r="Z13" s="185">
        <f t="shared" si="12"/>
        <v>-164.3946060377834</v>
      </c>
      <c r="AA13" s="185"/>
      <c r="AB13" s="209">
        <f t="shared" si="11"/>
        <v>3.4200000000000017</v>
      </c>
      <c r="AC13" s="209">
        <f t="shared" si="7"/>
        <v>-104.12675466576758</v>
      </c>
    </row>
    <row r="14" spans="2:29" ht="14.45">
      <c r="B14" s="207">
        <f>'Bloomberg Raw Data- all volumes'!A95</f>
        <v>45609</v>
      </c>
      <c r="C14" s="58" t="str">
        <f>'Bloomberg Raw Data- all volumes'!C95</f>
        <v>MRK 11/15/24 C102</v>
      </c>
      <c r="D14" s="56">
        <f>'Bloomberg Raw Data- all volumes'!I95</f>
        <v>98.5</v>
      </c>
      <c r="E14" s="75">
        <f>LN(D14/D69)</f>
        <v>-0.10814850377723755</v>
      </c>
      <c r="F14" s="208">
        <f>'Bloomberg Raw Data- all volumes'!B95</f>
        <v>102</v>
      </c>
      <c r="G14" s="56">
        <f>'Bloomberg Raw Data- all volumes'!F95</f>
        <v>5.0000000745058101E-2</v>
      </c>
      <c r="H14" s="56">
        <f>'Bloomberg Raw Data- all volumes'!D95</f>
        <v>3.0000001192092899E-2</v>
      </c>
      <c r="I14" s="56">
        <f>'Bloomberg Raw Data- all volumes'!E95</f>
        <v>5.0000000745058101E-2</v>
      </c>
      <c r="J14" s="71">
        <f>'Q1-(Without Zero Volume)'!J12</f>
        <v>4.6974999999999996E-2</v>
      </c>
      <c r="K14" s="72">
        <v>3.1099999999999999E-2</v>
      </c>
      <c r="L14" s="73">
        <f>2/252</f>
        <v>7.9365079365079361E-3</v>
      </c>
      <c r="M14" s="74">
        <f t="shared" si="3"/>
        <v>4.0000000968575498E-2</v>
      </c>
      <c r="N14" s="75">
        <f t="shared" si="0"/>
        <v>-4.6290502130949436E-3</v>
      </c>
      <c r="O14" s="75">
        <f t="shared" si="1"/>
        <v>-4.8018954347291823E-2</v>
      </c>
      <c r="P14" s="75">
        <v>100</v>
      </c>
      <c r="Q14" s="80">
        <v>0.48705046594539275</v>
      </c>
      <c r="R14" s="77">
        <f t="shared" si="2"/>
        <v>3.9622461222485583E-2</v>
      </c>
      <c r="S14" s="78">
        <f>'Bloomberg Raw Data- all volumes'!G93</f>
        <v>0.19944824218750001</v>
      </c>
      <c r="T14" s="79">
        <f t="shared" si="4"/>
        <v>3.775397460899152E-4</v>
      </c>
      <c r="U14" s="185">
        <f t="shared" si="5"/>
        <v>0.49815328274717297</v>
      </c>
      <c r="V14" s="185">
        <f t="shared" si="6"/>
        <v>-2.0641808145354101E-3</v>
      </c>
      <c r="W14" s="209">
        <f t="shared" si="8"/>
        <v>-7.9999999999998295E-2</v>
      </c>
      <c r="X14" s="185">
        <f t="shared" si="9"/>
        <v>49.815328274717295</v>
      </c>
      <c r="Y14" s="185">
        <f t="shared" si="10"/>
        <v>-3.9852262619772985</v>
      </c>
      <c r="Z14" s="185">
        <f t="shared" si="12"/>
        <v>-168.37983229976069</v>
      </c>
      <c r="AA14" s="185"/>
      <c r="AB14" s="209">
        <f t="shared" si="11"/>
        <v>3.5</v>
      </c>
      <c r="AC14" s="209">
        <f t="shared" si="7"/>
        <v>-0.48522626197729846</v>
      </c>
    </row>
    <row r="15" spans="2:29" ht="14.45">
      <c r="B15" s="207">
        <f>'Bloomberg Raw Data- all volumes'!A96</f>
        <v>45610</v>
      </c>
      <c r="C15" s="58" t="str">
        <f>'Bloomberg Raw Data- all volumes'!C96</f>
        <v>MRK 11/15/24 C102</v>
      </c>
      <c r="D15" s="56">
        <f>'Bloomberg Raw Data- all volumes'!I96</f>
        <v>98.36</v>
      </c>
      <c r="E15" s="75">
        <f>LN(D15/D70)</f>
        <v>-9.9957576779171942E-2</v>
      </c>
      <c r="F15" s="208">
        <f>'Bloomberg Raw Data- all volumes'!B96</f>
        <v>102</v>
      </c>
      <c r="G15" s="56">
        <f>'Bloomberg Raw Data- all volumes'!F96</f>
        <v>1.9999999552965199E-2</v>
      </c>
      <c r="H15" s="56">
        <f>'Bloomberg Raw Data- all volumes'!D96</f>
        <v>9.9999997764825804E-3</v>
      </c>
      <c r="I15" s="56">
        <f>'Bloomberg Raw Data- all volumes'!E96</f>
        <v>3.9999999105930301E-2</v>
      </c>
      <c r="J15" s="71">
        <f>'Q1-(Without Zero Volume)'!J13</f>
        <v>4.6974999999999996E-2</v>
      </c>
      <c r="K15" s="72">
        <v>3.1099999999999999E-2</v>
      </c>
      <c r="L15" s="73">
        <f>1/252</f>
        <v>3.968253968253968E-3</v>
      </c>
      <c r="M15" s="74">
        <f t="shared" si="3"/>
        <v>2.4999999441206441E-2</v>
      </c>
      <c r="N15" s="75">
        <f t="shared" si="0"/>
        <v>-9.7797626737941151E-3</v>
      </c>
      <c r="O15" s="75">
        <f t="shared" si="1"/>
        <v>-5.4574663603049529E-2</v>
      </c>
      <c r="P15" s="75">
        <v>100</v>
      </c>
      <c r="Q15" s="80">
        <v>0.71109700717551572</v>
      </c>
      <c r="R15" s="77">
        <f t="shared" si="2"/>
        <v>2.4997295768294236E-2</v>
      </c>
      <c r="S15" s="78">
        <f>'Bloomberg Raw Data- all volumes'!G94</f>
        <v>0.21100370407104499</v>
      </c>
      <c r="T15" s="79">
        <f t="shared" si="4"/>
        <v>2.7036729122048575E-6</v>
      </c>
      <c r="U15" s="185">
        <f t="shared" si="5"/>
        <v>0.49609850136956268</v>
      </c>
      <c r="V15" s="185">
        <f t="shared" si="6"/>
        <v>-2.0547813776102819E-3</v>
      </c>
      <c r="W15" s="209">
        <f t="shared" si="8"/>
        <v>-0.14000000000000057</v>
      </c>
      <c r="X15" s="185">
        <f t="shared" si="9"/>
        <v>49.609850136956268</v>
      </c>
      <c r="Y15" s="185">
        <f t="shared" si="10"/>
        <v>-6.945379019173906</v>
      </c>
      <c r="Z15" s="185">
        <f t="shared" si="12"/>
        <v>-175.32521131893461</v>
      </c>
      <c r="AA15" s="209">
        <f>MAX(D15-F15,0)</f>
        <v>0</v>
      </c>
      <c r="AB15" s="209">
        <f t="shared" si="11"/>
        <v>3.6400000000000006</v>
      </c>
      <c r="AC15" s="209">
        <f t="shared" si="7"/>
        <v>-3.3053790191739054</v>
      </c>
    </row>
    <row r="16" spans="2:29" ht="14.45">
      <c r="B16" s="207">
        <f>'Bloomberg Raw Data- all volumes'!A97</f>
        <v>45611</v>
      </c>
      <c r="C16" s="58" t="str">
        <f>'Bloomberg Raw Data- all volumes'!C97</f>
        <v>MRK 11/15/24 C102</v>
      </c>
      <c r="D16" s="56">
        <f>'Bloomberg Raw Data- all volumes'!I97</f>
        <v>96.31</v>
      </c>
      <c r="E16" s="75">
        <v>0</v>
      </c>
      <c r="F16" s="208">
        <f>'Bloomberg Raw Data- all volumes'!B97</f>
        <v>102</v>
      </c>
      <c r="G16" s="56">
        <f>'Bloomberg Raw Data- all volumes'!F97</f>
        <v>1.00000016391277E-2</v>
      </c>
      <c r="H16" s="56">
        <f>'Bloomberg Raw Data- all volumes'!D97</f>
        <v>0</v>
      </c>
      <c r="I16" s="56">
        <f>'Bloomberg Raw Data- all volumes'!E97</f>
        <v>1.00000016391277E-2</v>
      </c>
      <c r="J16" s="71">
        <f>'Q1-(Without Zero Volume)'!J14</f>
        <v>4.6974999999999996E-2</v>
      </c>
      <c r="K16" s="72">
        <v>3.1099999999999999E-2</v>
      </c>
      <c r="L16" s="73">
        <f>0/252</f>
        <v>0</v>
      </c>
      <c r="M16" s="74">
        <f t="shared" si="3"/>
        <v>5.00000081956385E-3</v>
      </c>
      <c r="N16" s="75" t="e">
        <f t="shared" si="0"/>
        <v>#DIV/0!</v>
      </c>
      <c r="O16" s="75" t="e">
        <f t="shared" si="1"/>
        <v>#DIV/0!</v>
      </c>
      <c r="P16" s="75">
        <v>100</v>
      </c>
      <c r="Q16" s="80">
        <v>0.33714516100305342</v>
      </c>
      <c r="R16" s="77" t="e">
        <f t="shared" si="2"/>
        <v>#DIV/0!</v>
      </c>
      <c r="S16" s="78">
        <f>'Bloomberg Raw Data- all volumes'!G95</f>
        <v>0.23149740219116199</v>
      </c>
      <c r="T16" s="79" t="e">
        <f t="shared" si="4"/>
        <v>#DIV/0!</v>
      </c>
      <c r="U16" s="185" t="e">
        <f t="shared" si="5"/>
        <v>#DIV/0!</v>
      </c>
      <c r="V16" s="185" t="e">
        <f t="shared" si="6"/>
        <v>#DIV/0!</v>
      </c>
      <c r="W16" s="209">
        <f t="shared" si="8"/>
        <v>-2.0499999999999972</v>
      </c>
      <c r="X16" s="185" t="e">
        <f t="shared" si="9"/>
        <v>#DIV/0!</v>
      </c>
      <c r="Y16" s="185" t="e">
        <f t="shared" si="10"/>
        <v>#DIV/0!</v>
      </c>
      <c r="Z16" s="185" t="e">
        <f t="shared" si="12"/>
        <v>#DIV/0!</v>
      </c>
      <c r="AA16" s="185"/>
      <c r="AB16" s="209">
        <f t="shared" si="11"/>
        <v>5.6899999999999977</v>
      </c>
      <c r="AC16" s="209" t="e">
        <f t="shared" si="7"/>
        <v>#DIV/0!</v>
      </c>
    </row>
    <row r="20" spans="2:29" ht="13.9" customHeight="1">
      <c r="B20" s="437" t="s">
        <v>264</v>
      </c>
      <c r="C20" s="437"/>
      <c r="D20" s="437"/>
      <c r="E20" s="437"/>
      <c r="F20" s="437"/>
      <c r="G20" s="437"/>
      <c r="H20" s="437"/>
      <c r="I20" s="437"/>
      <c r="J20" s="437"/>
      <c r="K20" s="437"/>
      <c r="L20" s="437"/>
      <c r="M20" s="437"/>
      <c r="N20" s="437"/>
      <c r="O20" s="437"/>
      <c r="P20" s="437"/>
      <c r="Q20" s="437"/>
      <c r="R20" s="437"/>
      <c r="S20" s="437"/>
      <c r="T20" s="437"/>
      <c r="U20" s="437"/>
      <c r="V20" s="437"/>
      <c r="W20" s="437"/>
      <c r="X20" s="437"/>
      <c r="Y20" s="437"/>
      <c r="Z20" s="437"/>
      <c r="AA20" s="437"/>
      <c r="AB20" s="437"/>
      <c r="AC20" s="437"/>
    </row>
    <row r="21" spans="2:29" ht="13.9" customHeight="1">
      <c r="B21" s="437"/>
      <c r="C21" s="437"/>
      <c r="D21" s="437"/>
      <c r="E21" s="437"/>
      <c r="F21" s="437"/>
      <c r="G21" s="437"/>
      <c r="H21" s="437"/>
      <c r="I21" s="437"/>
      <c r="J21" s="437"/>
      <c r="K21" s="437"/>
      <c r="L21" s="437"/>
      <c r="M21" s="437"/>
      <c r="N21" s="437"/>
      <c r="O21" s="437"/>
      <c r="P21" s="437"/>
      <c r="Q21" s="437"/>
      <c r="R21" s="437"/>
      <c r="S21" s="437"/>
      <c r="T21" s="437"/>
      <c r="U21" s="437"/>
      <c r="V21" s="437"/>
      <c r="W21" s="437"/>
      <c r="X21" s="437"/>
      <c r="Y21" s="437"/>
      <c r="Z21" s="437"/>
      <c r="AA21" s="437"/>
      <c r="AB21" s="437"/>
      <c r="AC21" s="437"/>
    </row>
    <row r="22" spans="2:29" ht="13.9" customHeight="1">
      <c r="B22" s="437"/>
      <c r="C22" s="437"/>
      <c r="D22" s="437"/>
      <c r="E22" s="437"/>
      <c r="F22" s="437"/>
      <c r="G22" s="437"/>
      <c r="H22" s="437"/>
      <c r="I22" s="437"/>
      <c r="J22" s="437"/>
      <c r="K22" s="437"/>
      <c r="L22" s="437"/>
      <c r="M22" s="437"/>
      <c r="N22" s="437"/>
      <c r="O22" s="437"/>
      <c r="P22" s="437"/>
      <c r="Q22" s="437"/>
      <c r="R22" s="437"/>
      <c r="S22" s="437"/>
      <c r="T22" s="437"/>
      <c r="U22" s="437"/>
      <c r="V22" s="437"/>
      <c r="W22" s="437"/>
      <c r="X22" s="437"/>
      <c r="Y22" s="437"/>
      <c r="Z22" s="437"/>
      <c r="AA22" s="437"/>
      <c r="AB22" s="437"/>
      <c r="AC22" s="437"/>
    </row>
    <row r="23" spans="2:29" ht="41.45">
      <c r="B23" s="181" t="s">
        <v>223</v>
      </c>
      <c r="C23" s="181" t="s">
        <v>38</v>
      </c>
      <c r="D23" s="182" t="s">
        <v>33</v>
      </c>
      <c r="E23" s="182" t="s">
        <v>260</v>
      </c>
      <c r="F23" s="182" t="s">
        <v>4</v>
      </c>
      <c r="G23" s="182" t="s">
        <v>225</v>
      </c>
      <c r="H23" s="181" t="s">
        <v>6</v>
      </c>
      <c r="I23" s="181" t="s">
        <v>7</v>
      </c>
      <c r="J23" s="182" t="s">
        <v>210</v>
      </c>
      <c r="K23" s="182" t="s">
        <v>211</v>
      </c>
      <c r="L23" s="182" t="s">
        <v>220</v>
      </c>
      <c r="M23" s="183" t="s">
        <v>11</v>
      </c>
      <c r="N23" s="181" t="s">
        <v>213</v>
      </c>
      <c r="O23" s="181" t="s">
        <v>214</v>
      </c>
      <c r="P23" s="181" t="s">
        <v>40</v>
      </c>
      <c r="Q23" s="211" t="s">
        <v>257</v>
      </c>
      <c r="R23" s="182" t="s">
        <v>262</v>
      </c>
      <c r="S23" s="182" t="s">
        <v>217</v>
      </c>
      <c r="T23" s="184" t="s">
        <v>218</v>
      </c>
      <c r="U23" s="184" t="s">
        <v>229</v>
      </c>
      <c r="V23" s="184" t="s">
        <v>251</v>
      </c>
      <c r="W23" s="184" t="s">
        <v>252</v>
      </c>
      <c r="X23" s="184" t="s">
        <v>230</v>
      </c>
      <c r="Y23" s="184" t="s">
        <v>253</v>
      </c>
      <c r="Z23" s="184" t="s">
        <v>263</v>
      </c>
      <c r="AA23" s="184" t="s">
        <v>235</v>
      </c>
      <c r="AB23" s="184" t="s">
        <v>255</v>
      </c>
      <c r="AC23" s="184" t="s">
        <v>256</v>
      </c>
    </row>
    <row r="24" spans="2:29" ht="14.45">
      <c r="B24" s="210">
        <f t="shared" ref="B24:L32" si="13">B8</f>
        <v>45601</v>
      </c>
      <c r="C24" s="59" t="str">
        <f t="shared" si="13"/>
        <v>MRK 11/15/24 C102</v>
      </c>
      <c r="D24" s="90">
        <f t="shared" si="13"/>
        <v>101.65</v>
      </c>
      <c r="E24" s="96">
        <f t="shared" si="13"/>
        <v>-2.161950527619365E-3</v>
      </c>
      <c r="F24" s="91">
        <f t="shared" si="13"/>
        <v>102</v>
      </c>
      <c r="G24" s="90">
        <f t="shared" si="13"/>
        <v>1.6900005340576201</v>
      </c>
      <c r="H24" s="90">
        <f t="shared" si="13"/>
        <v>1.5999994277954099</v>
      </c>
      <c r="I24" s="90">
        <f t="shared" si="13"/>
        <v>1.65999984741211</v>
      </c>
      <c r="J24" s="92">
        <f t="shared" si="13"/>
        <v>4.6974999999999996E-2</v>
      </c>
      <c r="K24" s="93">
        <f t="shared" si="13"/>
        <v>3.1099999999999999E-2</v>
      </c>
      <c r="L24" s="94">
        <f t="shared" si="13"/>
        <v>3.1746031746031744E-2</v>
      </c>
      <c r="M24" s="95">
        <f>(H24+I24)/2</f>
        <v>1.62999963760376</v>
      </c>
      <c r="N24" s="96">
        <f t="shared" ref="N24:N32" si="14">(LN(D24/F24) + ((J24+ (Q24^2) / 2)*L24) / (Q24*SQRT(L24)))</f>
        <v>6.1918075435853918E-2</v>
      </c>
      <c r="O24" s="96">
        <f t="shared" ref="O24:O32" si="15">N24-Q24*SQRT(L24)</f>
        <v>3.2462335619017277E-2</v>
      </c>
      <c r="P24" s="75">
        <v>100</v>
      </c>
      <c r="Q24" s="97">
        <f>'Historical Prices'!F24</f>
        <v>0.16531992970283718</v>
      </c>
      <c r="R24" s="77">
        <f t="shared" ref="R24:R32" si="16">D24*_xlfn.NORM.S.DIST(N24,TRUE) - F24*EXP(-J24*L24)*_xlfn.NORM.S.DIST(O24,TRUE)</f>
        <v>1.0915653188540233</v>
      </c>
      <c r="S24" s="97">
        <v>0.31934274414062491</v>
      </c>
      <c r="T24" s="79">
        <f>M24-R24</f>
        <v>0.53843431874973668</v>
      </c>
      <c r="U24" s="185">
        <f>_xlfn.NORM.S.DIST(N24,TRUE)</f>
        <v>0.52468596349999064</v>
      </c>
      <c r="V24" s="185">
        <v>0</v>
      </c>
      <c r="W24" s="209">
        <f>D24-D61</f>
        <v>-0.21999999999999886</v>
      </c>
      <c r="X24" s="185">
        <f>U24*P24</f>
        <v>52.468596349999061</v>
      </c>
      <c r="Y24" s="185">
        <f>X24*W24</f>
        <v>-11.543091196999734</v>
      </c>
      <c r="Z24" s="185">
        <f>Y24</f>
        <v>-11.543091196999734</v>
      </c>
      <c r="AA24" s="185"/>
      <c r="AB24" s="209">
        <f>F24-D24</f>
        <v>0.34999999999999432</v>
      </c>
      <c r="AC24" s="209">
        <f>AB24+Y24</f>
        <v>-11.19309119699974</v>
      </c>
    </row>
    <row r="25" spans="2:29" ht="14.45">
      <c r="B25" s="210">
        <f t="shared" si="13"/>
        <v>45602</v>
      </c>
      <c r="C25" s="59" t="str">
        <f t="shared" si="13"/>
        <v>MRK 11/15/24 C102</v>
      </c>
      <c r="D25" s="90">
        <f t="shared" si="13"/>
        <v>100.73</v>
      </c>
      <c r="E25" s="96">
        <f t="shared" si="13"/>
        <v>-9.0918701197659074E-3</v>
      </c>
      <c r="F25" s="91">
        <f t="shared" si="13"/>
        <v>102</v>
      </c>
      <c r="G25" s="90">
        <f t="shared" si="13"/>
        <v>0.87000000476837203</v>
      </c>
      <c r="H25" s="90">
        <f t="shared" si="13"/>
        <v>0.730000019073486</v>
      </c>
      <c r="I25" s="90">
        <f t="shared" si="13"/>
        <v>0.91000002622604403</v>
      </c>
      <c r="J25" s="92">
        <f t="shared" si="13"/>
        <v>4.6974999999999996E-2</v>
      </c>
      <c r="K25" s="93">
        <f t="shared" si="13"/>
        <v>3.1099999999999999E-2</v>
      </c>
      <c r="L25" s="94">
        <f t="shared" si="13"/>
        <v>2.7777777777777776E-2</v>
      </c>
      <c r="M25" s="74">
        <f t="shared" ref="M25:M32" si="17">(H25+I25)/2</f>
        <v>0.82000002264976501</v>
      </c>
      <c r="N25" s="75">
        <f t="shared" si="14"/>
        <v>4.9388629882323828E-2</v>
      </c>
      <c r="O25" s="75">
        <f t="shared" si="15"/>
        <v>2.2457831636884182E-2</v>
      </c>
      <c r="P25" s="75">
        <v>100</v>
      </c>
      <c r="Q25" s="97">
        <f>'Historical Prices'!F25</f>
        <v>0.16158478947263788</v>
      </c>
      <c r="R25" s="77">
        <f t="shared" si="16"/>
        <v>0.50281433686783572</v>
      </c>
      <c r="S25" s="80">
        <v>0.29785858398437493</v>
      </c>
      <c r="T25" s="79">
        <f t="shared" ref="T25:T32" si="18">M25-R25</f>
        <v>0.31718568578192929</v>
      </c>
      <c r="U25" s="185">
        <f t="shared" ref="U25:U32" si="19">_xlfn.NORM.S.DIST(N25,TRUE)</f>
        <v>0.51969520542766878</v>
      </c>
      <c r="V25" s="185">
        <f>U25-U24</f>
        <v>-4.9907580723218548E-3</v>
      </c>
      <c r="W25" s="209">
        <f t="shared" ref="W25:W32" si="20">D25-D62</f>
        <v>-0.92000000000000171</v>
      </c>
      <c r="X25" s="185">
        <f t="shared" ref="X25:X32" si="21">U25*P25</f>
        <v>51.96952054276688</v>
      </c>
      <c r="Y25" s="185">
        <f t="shared" ref="Y25:Y32" si="22">X25*W25</f>
        <v>-47.811958899345619</v>
      </c>
      <c r="Z25" s="185">
        <f>Y25+Z24</f>
        <v>-59.355050096345352</v>
      </c>
      <c r="AA25" s="185"/>
      <c r="AB25" s="209">
        <f t="shared" ref="AB25:AB32" si="23">F25-D25</f>
        <v>1.269999999999996</v>
      </c>
      <c r="AC25" s="209">
        <f t="shared" ref="AC25:AC32" si="24">AB25+Y25</f>
        <v>-46.541958899345623</v>
      </c>
    </row>
    <row r="26" spans="2:29" ht="14.45">
      <c r="B26" s="210">
        <f t="shared" si="13"/>
        <v>45603</v>
      </c>
      <c r="C26" s="59" t="str">
        <f t="shared" si="13"/>
        <v>MRK 11/15/24 C102</v>
      </c>
      <c r="D26" s="90">
        <f t="shared" si="13"/>
        <v>101.17</v>
      </c>
      <c r="E26" s="96">
        <f t="shared" si="13"/>
        <v>-8.612963355278809E-2</v>
      </c>
      <c r="F26" s="91">
        <f t="shared" si="13"/>
        <v>102</v>
      </c>
      <c r="G26" s="90">
        <f t="shared" si="13"/>
        <v>0.93000000715255704</v>
      </c>
      <c r="H26" s="90">
        <f t="shared" si="13"/>
        <v>0.87999999523162797</v>
      </c>
      <c r="I26" s="90">
        <f t="shared" si="13"/>
        <v>1.5</v>
      </c>
      <c r="J26" s="92">
        <f t="shared" si="13"/>
        <v>4.6974999999999996E-2</v>
      </c>
      <c r="K26" s="93">
        <f t="shared" si="13"/>
        <v>3.1099999999999999E-2</v>
      </c>
      <c r="L26" s="94">
        <f t="shared" si="13"/>
        <v>2.3809523809523808E-2</v>
      </c>
      <c r="M26" s="74">
        <f t="shared" si="17"/>
        <v>1.189999997615814</v>
      </c>
      <c r="N26" s="75">
        <f t="shared" si="14"/>
        <v>4.9314053488171139E-2</v>
      </c>
      <c r="O26" s="75">
        <f t="shared" si="15"/>
        <v>2.4503209077188101E-2</v>
      </c>
      <c r="P26" s="75">
        <v>100</v>
      </c>
      <c r="Q26" s="97">
        <f>'Historical Prices'!F26</f>
        <v>0.16079264913612296</v>
      </c>
      <c r="R26" s="77">
        <f t="shared" si="16"/>
        <v>0.63569368803928228</v>
      </c>
      <c r="S26" s="80">
        <v>0.2924875439453124</v>
      </c>
      <c r="T26" s="79">
        <f t="shared" si="18"/>
        <v>0.55430630957653171</v>
      </c>
      <c r="U26" s="185">
        <f t="shared" si="19"/>
        <v>0.51966548995979811</v>
      </c>
      <c r="V26" s="185">
        <f t="shared" ref="V26:V32" si="25">U26-U25</f>
        <v>-2.9715467870672363E-5</v>
      </c>
      <c r="W26" s="209">
        <f t="shared" si="20"/>
        <v>-9.0999999999999943</v>
      </c>
      <c r="X26" s="185">
        <f t="shared" si="21"/>
        <v>51.966548995979814</v>
      </c>
      <c r="Y26" s="185">
        <f t="shared" si="22"/>
        <v>-472.89559586341602</v>
      </c>
      <c r="Z26" s="185">
        <f t="shared" ref="Z26:Z32" si="26">Y26+Z25</f>
        <v>-532.25064595976141</v>
      </c>
      <c r="AA26" s="185"/>
      <c r="AB26" s="209">
        <f t="shared" si="23"/>
        <v>0.82999999999999829</v>
      </c>
      <c r="AC26" s="209">
        <f t="shared" si="24"/>
        <v>-472.06559586341604</v>
      </c>
    </row>
    <row r="27" spans="2:29" ht="14.45">
      <c r="B27" s="210">
        <f t="shared" si="13"/>
        <v>45604</v>
      </c>
      <c r="C27" s="59" t="str">
        <f t="shared" si="13"/>
        <v>MRK 11/15/24 C102</v>
      </c>
      <c r="D27" s="90">
        <f t="shared" si="13"/>
        <v>102.92</v>
      </c>
      <c r="E27" s="96">
        <f t="shared" si="13"/>
        <v>-6.1058902574337472E-2</v>
      </c>
      <c r="F27" s="91">
        <f t="shared" si="13"/>
        <v>102</v>
      </c>
      <c r="G27" s="90">
        <f t="shared" si="13"/>
        <v>1.69999980926514</v>
      </c>
      <c r="H27" s="90">
        <f t="shared" si="13"/>
        <v>1.57999992370605</v>
      </c>
      <c r="I27" s="90">
        <f t="shared" si="13"/>
        <v>2.1400003433227499</v>
      </c>
      <c r="J27" s="92">
        <f t="shared" si="13"/>
        <v>4.6974999999999996E-2</v>
      </c>
      <c r="K27" s="93">
        <f t="shared" si="13"/>
        <v>3.1099999999999999E-2</v>
      </c>
      <c r="L27" s="94">
        <f t="shared" si="13"/>
        <v>1.984126984126984E-2</v>
      </c>
      <c r="M27" s="74">
        <f t="shared" si="17"/>
        <v>1.8600001335143999</v>
      </c>
      <c r="N27" s="75">
        <f t="shared" si="14"/>
        <v>6.1121312916576083E-2</v>
      </c>
      <c r="O27" s="75">
        <f t="shared" si="15"/>
        <v>3.8214689102112204E-2</v>
      </c>
      <c r="P27" s="75">
        <v>100</v>
      </c>
      <c r="Q27" s="97">
        <f>'Historical Prices'!F27</f>
        <v>0.16262089685738157</v>
      </c>
      <c r="R27" s="77">
        <f t="shared" si="16"/>
        <v>1.4623292153938721</v>
      </c>
      <c r="S27" s="80">
        <v>0.29102271484374992</v>
      </c>
      <c r="T27" s="79">
        <f t="shared" si="18"/>
        <v>0.39767091812052779</v>
      </c>
      <c r="U27" s="185">
        <f t="shared" si="19"/>
        <v>0.52436870218552167</v>
      </c>
      <c r="V27" s="185">
        <f t="shared" si="25"/>
        <v>4.7032122257235631E-3</v>
      </c>
      <c r="W27" s="209">
        <f t="shared" si="20"/>
        <v>-6.480000000000004</v>
      </c>
      <c r="X27" s="185">
        <f t="shared" si="21"/>
        <v>52.436870218552166</v>
      </c>
      <c r="Y27" s="185">
        <f t="shared" si="22"/>
        <v>-339.79091901621825</v>
      </c>
      <c r="Z27" s="185">
        <f t="shared" si="26"/>
        <v>-872.04156497597967</v>
      </c>
      <c r="AA27" s="185"/>
      <c r="AB27" s="209">
        <f t="shared" si="23"/>
        <v>-0.92000000000000171</v>
      </c>
      <c r="AC27" s="209">
        <f t="shared" si="24"/>
        <v>-340.71091901621827</v>
      </c>
    </row>
    <row r="28" spans="2:29" ht="14.45">
      <c r="B28" s="210">
        <f t="shared" si="13"/>
        <v>45607</v>
      </c>
      <c r="C28" s="59" t="str">
        <f t="shared" si="13"/>
        <v>MRK 11/15/24 C102</v>
      </c>
      <c r="D28" s="90">
        <f t="shared" si="13"/>
        <v>100.73</v>
      </c>
      <c r="E28" s="96">
        <f t="shared" si="13"/>
        <v>-0.10184994305185577</v>
      </c>
      <c r="F28" s="91">
        <f t="shared" si="13"/>
        <v>102</v>
      </c>
      <c r="G28" s="90">
        <f t="shared" si="13"/>
        <v>0.41000002622604398</v>
      </c>
      <c r="H28" s="90">
        <f t="shared" si="13"/>
        <v>0.34000003337860102</v>
      </c>
      <c r="I28" s="90">
        <f t="shared" si="13"/>
        <v>0.56999999284744296</v>
      </c>
      <c r="J28" s="92">
        <f t="shared" si="13"/>
        <v>4.6974999999999996E-2</v>
      </c>
      <c r="K28" s="93">
        <f t="shared" si="13"/>
        <v>3.1099999999999999E-2</v>
      </c>
      <c r="L28" s="94">
        <f t="shared" si="13"/>
        <v>1.5873015873015872E-2</v>
      </c>
      <c r="M28" s="74">
        <f t="shared" si="17"/>
        <v>0.45500001311302196</v>
      </c>
      <c r="N28" s="75">
        <f t="shared" si="14"/>
        <v>3.3855356136344619E-2</v>
      </c>
      <c r="O28" s="75">
        <f t="shared" si="15"/>
        <v>1.3166224919166948E-2</v>
      </c>
      <c r="P28" s="75">
        <v>100</v>
      </c>
      <c r="Q28" s="97">
        <f>'Historical Prices'!F28</f>
        <v>0.1642148881279055</v>
      </c>
      <c r="R28" s="77">
        <f t="shared" si="16"/>
        <v>0.22789957062098409</v>
      </c>
      <c r="S28" s="80">
        <v>0.29004616210937489</v>
      </c>
      <c r="T28" s="79">
        <f t="shared" si="18"/>
        <v>0.22710044249203787</v>
      </c>
      <c r="U28" s="185">
        <f t="shared" si="19"/>
        <v>0.51350375329801312</v>
      </c>
      <c r="V28" s="185">
        <f t="shared" si="25"/>
        <v>-1.0864948887508552E-2</v>
      </c>
      <c r="W28" s="209">
        <f t="shared" si="20"/>
        <v>-9</v>
      </c>
      <c r="X28" s="185">
        <f t="shared" si="21"/>
        <v>51.350375329801309</v>
      </c>
      <c r="Y28" s="185">
        <f t="shared" si="22"/>
        <v>-462.15337796821177</v>
      </c>
      <c r="Z28" s="185">
        <f t="shared" si="26"/>
        <v>-1334.1949429441916</v>
      </c>
      <c r="AA28" s="185"/>
      <c r="AB28" s="209">
        <f t="shared" si="23"/>
        <v>1.269999999999996</v>
      </c>
      <c r="AC28" s="209">
        <f t="shared" si="24"/>
        <v>-460.88337796821179</v>
      </c>
    </row>
    <row r="29" spans="2:29" ht="14.45">
      <c r="B29" s="210">
        <f t="shared" si="13"/>
        <v>45608</v>
      </c>
      <c r="C29" s="59" t="str">
        <f t="shared" si="13"/>
        <v>MRK 11/15/24 C102</v>
      </c>
      <c r="D29" s="90">
        <f t="shared" si="13"/>
        <v>98.58</v>
      </c>
      <c r="E29" s="96">
        <f t="shared" si="13"/>
        <v>-0.11342287557866687</v>
      </c>
      <c r="F29" s="91">
        <f t="shared" si="13"/>
        <v>102</v>
      </c>
      <c r="G29" s="90">
        <f t="shared" si="13"/>
        <v>7.9999983310699505E-2</v>
      </c>
      <c r="H29" s="90">
        <f t="shared" si="13"/>
        <v>7.9999983310699505E-2</v>
      </c>
      <c r="I29" s="90">
        <f t="shared" si="13"/>
        <v>0.110000014305115</v>
      </c>
      <c r="J29" s="92">
        <f t="shared" si="13"/>
        <v>4.6974999999999996E-2</v>
      </c>
      <c r="K29" s="93">
        <f t="shared" si="13"/>
        <v>3.1099999999999999E-2</v>
      </c>
      <c r="L29" s="94">
        <f t="shared" si="13"/>
        <v>1.1904761904761904E-2</v>
      </c>
      <c r="M29" s="85">
        <f t="shared" si="17"/>
        <v>9.4999998807907243E-2</v>
      </c>
      <c r="N29" s="86">
        <f t="shared" si="14"/>
        <v>4.7792569097040508E-3</v>
      </c>
      <c r="O29" s="86">
        <f t="shared" si="15"/>
        <v>-1.4267897003779877E-2</v>
      </c>
      <c r="P29" s="75">
        <v>100</v>
      </c>
      <c r="Q29" s="97">
        <f>'Historical Prices'!F29</f>
        <v>0.17457004916402893</v>
      </c>
      <c r="R29" s="77">
        <f t="shared" si="16"/>
        <v>-0.91328423423085781</v>
      </c>
      <c r="S29" s="87">
        <v>0.29077857666015622</v>
      </c>
      <c r="T29" s="89">
        <f t="shared" si="18"/>
        <v>1.0082842330387651</v>
      </c>
      <c r="U29" s="185">
        <f t="shared" si="19"/>
        <v>0.50190664039182242</v>
      </c>
      <c r="V29" s="185">
        <f t="shared" si="25"/>
        <v>-1.1597112906190699E-2</v>
      </c>
      <c r="W29" s="209">
        <f t="shared" si="20"/>
        <v>-11.11</v>
      </c>
      <c r="X29" s="185">
        <f t="shared" si="21"/>
        <v>50.190664039182245</v>
      </c>
      <c r="Y29" s="185">
        <f t="shared" si="22"/>
        <v>-557.6182774753147</v>
      </c>
      <c r="Z29" s="185">
        <f t="shared" si="26"/>
        <v>-1891.8132204195063</v>
      </c>
      <c r="AA29" s="185"/>
      <c r="AB29" s="209">
        <f t="shared" si="23"/>
        <v>3.4200000000000017</v>
      </c>
      <c r="AC29" s="209">
        <f t="shared" si="24"/>
        <v>-554.19827747531474</v>
      </c>
    </row>
    <row r="30" spans="2:29" ht="14.45">
      <c r="B30" s="210">
        <f t="shared" si="13"/>
        <v>45609</v>
      </c>
      <c r="C30" s="59" t="str">
        <f t="shared" si="13"/>
        <v>MRK 11/15/24 C102</v>
      </c>
      <c r="D30" s="90">
        <f t="shared" si="13"/>
        <v>98.5</v>
      </c>
      <c r="E30" s="96">
        <f t="shared" si="13"/>
        <v>-0.10814850377723755</v>
      </c>
      <c r="F30" s="91">
        <f t="shared" si="13"/>
        <v>102</v>
      </c>
      <c r="G30" s="90">
        <f t="shared" si="13"/>
        <v>5.0000000745058101E-2</v>
      </c>
      <c r="H30" s="90">
        <f t="shared" si="13"/>
        <v>3.0000001192092899E-2</v>
      </c>
      <c r="I30" s="90">
        <f t="shared" si="13"/>
        <v>5.0000000745058101E-2</v>
      </c>
      <c r="J30" s="92">
        <f t="shared" si="13"/>
        <v>4.6974999999999996E-2</v>
      </c>
      <c r="K30" s="93">
        <f t="shared" si="13"/>
        <v>3.1099999999999999E-2</v>
      </c>
      <c r="L30" s="94">
        <f t="shared" si="13"/>
        <v>7.9365079365079361E-3</v>
      </c>
      <c r="M30" s="74">
        <f t="shared" si="17"/>
        <v>4.0000000968575498E-2</v>
      </c>
      <c r="N30" s="75">
        <f t="shared" si="14"/>
        <v>-3.849137350996637E-3</v>
      </c>
      <c r="O30" s="75">
        <f t="shared" si="15"/>
        <v>-2.0099669467386314E-2</v>
      </c>
      <c r="P30" s="75">
        <v>100</v>
      </c>
      <c r="Q30" s="97">
        <f>'Historical Prices'!F30</f>
        <v>0.18241177059688982</v>
      </c>
      <c r="R30" s="77">
        <f t="shared" si="16"/>
        <v>-1.0647063718019041</v>
      </c>
      <c r="S30" s="80">
        <v>0.30396203857421872</v>
      </c>
      <c r="T30" s="79">
        <f t="shared" si="18"/>
        <v>1.1047063727704796</v>
      </c>
      <c r="U30" s="185">
        <f t="shared" si="19"/>
        <v>0.49846442015943826</v>
      </c>
      <c r="V30" s="185">
        <f t="shared" si="25"/>
        <v>-3.4422202323841633E-3</v>
      </c>
      <c r="W30" s="209">
        <f t="shared" si="20"/>
        <v>-13.030000000000001</v>
      </c>
      <c r="X30" s="185">
        <f t="shared" si="21"/>
        <v>49.846442015943829</v>
      </c>
      <c r="Y30" s="185">
        <f t="shared" si="22"/>
        <v>-649.49913946774814</v>
      </c>
      <c r="Z30" s="185">
        <f t="shared" si="26"/>
        <v>-2541.3123598872544</v>
      </c>
      <c r="AA30" s="185"/>
      <c r="AB30" s="209">
        <f t="shared" si="23"/>
        <v>3.5</v>
      </c>
      <c r="AC30" s="209">
        <f t="shared" si="24"/>
        <v>-645.99913946774814</v>
      </c>
    </row>
    <row r="31" spans="2:29" ht="14.45">
      <c r="B31" s="210">
        <f t="shared" si="13"/>
        <v>45610</v>
      </c>
      <c r="C31" s="59" t="str">
        <f t="shared" si="13"/>
        <v>MRK 11/15/24 C102</v>
      </c>
      <c r="D31" s="90">
        <f t="shared" si="13"/>
        <v>98.36</v>
      </c>
      <c r="E31" s="96">
        <f t="shared" si="13"/>
        <v>-9.9957576779171942E-2</v>
      </c>
      <c r="F31" s="91">
        <f t="shared" si="13"/>
        <v>102</v>
      </c>
      <c r="G31" s="90">
        <f t="shared" si="13"/>
        <v>1.9999999552965199E-2</v>
      </c>
      <c r="H31" s="90">
        <f t="shared" si="13"/>
        <v>9.9999997764825804E-3</v>
      </c>
      <c r="I31" s="90">
        <f t="shared" si="13"/>
        <v>3.9999999105930301E-2</v>
      </c>
      <c r="J31" s="92">
        <f t="shared" si="13"/>
        <v>4.6974999999999996E-2</v>
      </c>
      <c r="K31" s="93">
        <f t="shared" si="13"/>
        <v>3.1099999999999999E-2</v>
      </c>
      <c r="L31" s="94">
        <f t="shared" si="13"/>
        <v>3.968253968253968E-3</v>
      </c>
      <c r="M31" s="74">
        <f t="shared" si="17"/>
        <v>2.4999999441206441E-2</v>
      </c>
      <c r="N31" s="75">
        <f t="shared" si="14"/>
        <v>-1.4363885459789928E-2</v>
      </c>
      <c r="O31" s="75">
        <f t="shared" si="15"/>
        <v>-2.5847149886850756E-2</v>
      </c>
      <c r="P31" s="75">
        <v>100</v>
      </c>
      <c r="Q31" s="97">
        <f>'Historical Prices'!F31</f>
        <v>0.18229117147918533</v>
      </c>
      <c r="R31" s="77">
        <f t="shared" si="16"/>
        <v>-1.3226509747332926</v>
      </c>
      <c r="S31" s="80">
        <v>0.30127651855468751</v>
      </c>
      <c r="T31" s="79">
        <f t="shared" si="18"/>
        <v>1.3476509741744991</v>
      </c>
      <c r="U31" s="185">
        <f t="shared" si="19"/>
        <v>0.49426983582232076</v>
      </c>
      <c r="V31" s="185">
        <f t="shared" si="25"/>
        <v>-4.1945843371175018E-3</v>
      </c>
      <c r="W31" s="209">
        <f t="shared" si="20"/>
        <v>-12.060000000000002</v>
      </c>
      <c r="X31" s="185">
        <f t="shared" si="21"/>
        <v>49.426983582232076</v>
      </c>
      <c r="Y31" s="185">
        <f t="shared" si="22"/>
        <v>-596.08942200171896</v>
      </c>
      <c r="Z31" s="185">
        <f t="shared" si="26"/>
        <v>-3137.4017818889733</v>
      </c>
      <c r="AA31" s="209">
        <f>MAX(D31-F31,0)</f>
        <v>0</v>
      </c>
      <c r="AB31" s="209">
        <f t="shared" si="23"/>
        <v>3.6400000000000006</v>
      </c>
      <c r="AC31" s="209">
        <f t="shared" si="24"/>
        <v>-592.44942200171897</v>
      </c>
    </row>
    <row r="32" spans="2:29" ht="14.45">
      <c r="B32" s="210">
        <f t="shared" si="13"/>
        <v>45611</v>
      </c>
      <c r="C32" s="59" t="str">
        <f t="shared" si="13"/>
        <v>MRK 11/15/24 C102</v>
      </c>
      <c r="D32" s="90">
        <f t="shared" si="13"/>
        <v>96.31</v>
      </c>
      <c r="E32" s="96">
        <f t="shared" si="13"/>
        <v>0</v>
      </c>
      <c r="F32" s="91">
        <f t="shared" si="13"/>
        <v>102</v>
      </c>
      <c r="G32" s="90">
        <f t="shared" si="13"/>
        <v>1.00000016391277E-2</v>
      </c>
      <c r="H32" s="90">
        <f t="shared" si="13"/>
        <v>0</v>
      </c>
      <c r="I32" s="90">
        <f t="shared" si="13"/>
        <v>1.00000016391277E-2</v>
      </c>
      <c r="J32" s="92">
        <f t="shared" si="13"/>
        <v>4.6974999999999996E-2</v>
      </c>
      <c r="K32" s="93">
        <f t="shared" si="13"/>
        <v>3.1099999999999999E-2</v>
      </c>
      <c r="L32" s="94">
        <f t="shared" si="13"/>
        <v>0</v>
      </c>
      <c r="M32" s="74">
        <f t="shared" si="17"/>
        <v>5.00000081956385E-3</v>
      </c>
      <c r="N32" s="75" t="e">
        <f t="shared" si="14"/>
        <v>#DIV/0!</v>
      </c>
      <c r="O32" s="75" t="e">
        <f t="shared" si="15"/>
        <v>#DIV/0!</v>
      </c>
      <c r="P32" s="75">
        <v>100</v>
      </c>
      <c r="Q32" s="97">
        <f>'Historical Prices'!F32</f>
        <v>0.16700370702456038</v>
      </c>
      <c r="R32" s="77" t="e">
        <f t="shared" si="16"/>
        <v>#DIV/0!</v>
      </c>
      <c r="S32" s="80">
        <v>0.32178412597656247</v>
      </c>
      <c r="T32" s="79" t="e">
        <f t="shared" si="18"/>
        <v>#DIV/0!</v>
      </c>
      <c r="U32" s="185" t="e">
        <f t="shared" si="19"/>
        <v>#DIV/0!</v>
      </c>
      <c r="V32" s="185" t="e">
        <f t="shared" si="25"/>
        <v>#DIV/0!</v>
      </c>
      <c r="W32" s="209">
        <f t="shared" si="20"/>
        <v>-13.439999999999998</v>
      </c>
      <c r="X32" s="185" t="e">
        <f t="shared" si="21"/>
        <v>#DIV/0!</v>
      </c>
      <c r="Y32" s="185" t="e">
        <f t="shared" si="22"/>
        <v>#DIV/0!</v>
      </c>
      <c r="Z32" s="185" t="e">
        <f t="shared" si="26"/>
        <v>#DIV/0!</v>
      </c>
      <c r="AA32" s="185"/>
      <c r="AB32" s="209">
        <f t="shared" si="23"/>
        <v>5.6899999999999977</v>
      </c>
      <c r="AC32" s="209" t="e">
        <f t="shared" si="24"/>
        <v>#DIV/0!</v>
      </c>
    </row>
    <row r="37" spans="2:12" ht="30">
      <c r="B37" s="438" t="s">
        <v>243</v>
      </c>
      <c r="C37" s="450"/>
      <c r="D37" s="450"/>
      <c r="E37" s="450"/>
      <c r="F37" s="450"/>
      <c r="G37" s="450"/>
      <c r="H37" s="450"/>
      <c r="I37" s="450"/>
      <c r="J37" s="450"/>
      <c r="K37" s="450"/>
    </row>
    <row r="38" spans="2:12">
      <c r="B38" s="186"/>
      <c r="C38" s="186"/>
      <c r="D38" s="186"/>
      <c r="E38" s="186"/>
      <c r="F38" s="187"/>
      <c r="G38" s="186"/>
      <c r="H38" s="186"/>
      <c r="I38" s="186"/>
      <c r="J38" s="188"/>
      <c r="K38" s="189"/>
    </row>
    <row r="39" spans="2:12">
      <c r="B39" s="186"/>
      <c r="C39" s="190" t="s">
        <v>223</v>
      </c>
      <c r="D39" s="190" t="s">
        <v>244</v>
      </c>
      <c r="E39" s="190" t="s">
        <v>245</v>
      </c>
      <c r="F39" s="191" t="s">
        <v>246</v>
      </c>
      <c r="G39" s="191" t="s">
        <v>247</v>
      </c>
      <c r="H39" s="192" t="s">
        <v>265</v>
      </c>
      <c r="I39" s="186"/>
      <c r="J39" s="186"/>
      <c r="K39" s="188"/>
      <c r="L39" s="189"/>
    </row>
    <row r="40" spans="2:12">
      <c r="B40" s="186"/>
      <c r="C40" s="193">
        <v>45569</v>
      </c>
      <c r="D40" s="202">
        <v>109.77</v>
      </c>
      <c r="E40" s="204">
        <f t="shared" ref="E40:E69" si="27">(C41-C40)/D41</f>
        <v>2.7626853301408967E-2</v>
      </c>
      <c r="F40" s="194"/>
      <c r="G40" s="194"/>
      <c r="H40" s="195"/>
      <c r="I40" s="186" t="s">
        <v>258</v>
      </c>
      <c r="J40" s="186"/>
      <c r="K40" s="188"/>
      <c r="L40" s="189"/>
    </row>
    <row r="41" spans="2:12">
      <c r="B41" s="186"/>
      <c r="C41" s="193">
        <v>45572</v>
      </c>
      <c r="D41" s="202">
        <v>108.59</v>
      </c>
      <c r="E41" s="204">
        <f t="shared" si="27"/>
        <v>9.2148912642830826E-3</v>
      </c>
      <c r="F41" s="204">
        <f t="shared" ref="F41:F70" si="28">LN(D41/D40)</f>
        <v>-1.0807945470415938E-2</v>
      </c>
      <c r="G41" s="204"/>
      <c r="H41" s="204"/>
      <c r="I41" s="186"/>
      <c r="J41" s="186"/>
      <c r="K41" s="188"/>
      <c r="L41" s="189"/>
    </row>
    <row r="42" spans="2:12">
      <c r="B42" s="186"/>
      <c r="C42" s="193">
        <v>45573</v>
      </c>
      <c r="D42" s="202">
        <v>108.52</v>
      </c>
      <c r="E42" s="204">
        <f t="shared" si="27"/>
        <v>9.0686496780629372E-3</v>
      </c>
      <c r="F42" s="204">
        <f t="shared" si="28"/>
        <v>-6.4483443807811453E-4</v>
      </c>
      <c r="G42" s="204"/>
      <c r="H42" s="204"/>
      <c r="I42" s="186"/>
      <c r="J42" s="186"/>
      <c r="K42" s="188"/>
      <c r="L42" s="189"/>
    </row>
    <row r="43" spans="2:12">
      <c r="B43" s="186"/>
      <c r="C43" s="193">
        <v>45574</v>
      </c>
      <c r="D43" s="202">
        <v>110.27</v>
      </c>
      <c r="E43" s="204">
        <f t="shared" si="27"/>
        <v>9.140767824497258E-3</v>
      </c>
      <c r="F43" s="204">
        <f t="shared" si="28"/>
        <v>1.5997415979856214E-2</v>
      </c>
      <c r="G43" s="204"/>
      <c r="H43" s="204"/>
      <c r="I43" s="186"/>
      <c r="J43" s="186"/>
      <c r="K43" s="188"/>
      <c r="L43" s="189"/>
    </row>
    <row r="44" spans="2:12">
      <c r="B44" s="186"/>
      <c r="C44" s="193">
        <v>45575</v>
      </c>
      <c r="D44" s="202">
        <v>109.4</v>
      </c>
      <c r="E44" s="204">
        <f t="shared" si="27"/>
        <v>9.1132780461131869E-3</v>
      </c>
      <c r="F44" s="204">
        <f t="shared" si="28"/>
        <v>-7.9210137827062516E-3</v>
      </c>
      <c r="G44" s="204"/>
      <c r="H44" s="204"/>
      <c r="I44" s="186"/>
      <c r="J44" s="186"/>
      <c r="K44" s="188"/>
      <c r="L44" s="189"/>
    </row>
    <row r="45" spans="2:12">
      <c r="B45" s="186"/>
      <c r="C45" s="193">
        <v>45576</v>
      </c>
      <c r="D45" s="202">
        <v>109.73</v>
      </c>
      <c r="E45" s="204">
        <f t="shared" si="27"/>
        <v>2.7349803993071384E-2</v>
      </c>
      <c r="F45" s="204">
        <f t="shared" si="28"/>
        <v>3.0119130148268405E-3</v>
      </c>
      <c r="G45" s="204"/>
      <c r="H45" s="204"/>
      <c r="I45" s="186"/>
      <c r="J45" s="186"/>
      <c r="K45" s="188"/>
      <c r="L45" s="189"/>
    </row>
    <row r="46" spans="2:12">
      <c r="B46" s="186"/>
      <c r="C46" s="193">
        <v>45579</v>
      </c>
      <c r="D46" s="202">
        <v>109.69</v>
      </c>
      <c r="E46" s="204">
        <f t="shared" si="27"/>
        <v>8.9661974356675337E-3</v>
      </c>
      <c r="F46" s="204">
        <f t="shared" si="28"/>
        <v>-3.6459757946500368E-4</v>
      </c>
      <c r="G46" s="204"/>
      <c r="H46" s="204"/>
      <c r="I46" s="186"/>
      <c r="J46" s="186"/>
      <c r="K46" s="188"/>
      <c r="L46" s="189"/>
    </row>
    <row r="47" spans="2:12">
      <c r="B47" s="186"/>
      <c r="C47" s="193">
        <v>45580</v>
      </c>
      <c r="D47" s="202">
        <v>111.53</v>
      </c>
      <c r="E47" s="204">
        <f t="shared" si="27"/>
        <v>9.056330374932078E-3</v>
      </c>
      <c r="F47" s="204">
        <f t="shared" si="28"/>
        <v>1.6635407583202821E-2</v>
      </c>
      <c r="G47" s="204"/>
      <c r="H47" s="204"/>
      <c r="I47" s="186"/>
      <c r="J47" s="186"/>
      <c r="K47" s="188"/>
      <c r="L47" s="189"/>
    </row>
    <row r="48" spans="2:12">
      <c r="B48" s="186"/>
      <c r="C48" s="193">
        <v>45581</v>
      </c>
      <c r="D48" s="202">
        <v>110.42</v>
      </c>
      <c r="E48" s="204">
        <f t="shared" si="27"/>
        <v>9.1116173120728925E-3</v>
      </c>
      <c r="F48" s="204">
        <f t="shared" si="28"/>
        <v>-1.0002336150547016E-2</v>
      </c>
      <c r="G48" s="204"/>
      <c r="H48" s="204"/>
      <c r="I48" s="186"/>
      <c r="J48" s="186"/>
      <c r="K48" s="188"/>
      <c r="L48" s="189"/>
    </row>
    <row r="49" spans="2:12">
      <c r="B49" s="186"/>
      <c r="C49" s="193">
        <v>45582</v>
      </c>
      <c r="D49" s="202">
        <v>109.75</v>
      </c>
      <c r="E49" s="204">
        <f t="shared" si="27"/>
        <v>9.1996320147194107E-3</v>
      </c>
      <c r="F49" s="204">
        <f t="shared" si="28"/>
        <v>-6.0862249006177959E-3</v>
      </c>
      <c r="G49" s="204"/>
      <c r="H49" s="204"/>
      <c r="I49" s="186"/>
      <c r="J49" s="186"/>
      <c r="K49" s="188"/>
      <c r="L49" s="189"/>
    </row>
    <row r="50" spans="2:12">
      <c r="B50" s="186"/>
      <c r="C50" s="193">
        <v>45583</v>
      </c>
      <c r="D50" s="202">
        <v>108.7</v>
      </c>
      <c r="E50" s="204">
        <f t="shared" si="27"/>
        <v>2.8211397404551437E-2</v>
      </c>
      <c r="F50" s="204">
        <f t="shared" si="28"/>
        <v>-9.6132578281169171E-3</v>
      </c>
      <c r="G50" s="204"/>
      <c r="H50" s="204"/>
      <c r="I50" s="186"/>
      <c r="J50" s="186"/>
      <c r="K50" s="188"/>
      <c r="L50" s="189"/>
    </row>
    <row r="51" spans="2:12">
      <c r="B51" s="186"/>
      <c r="C51" s="193">
        <v>45586</v>
      </c>
      <c r="D51" s="202">
        <v>106.34</v>
      </c>
      <c r="E51" s="204">
        <f t="shared" si="27"/>
        <v>9.377344336084021E-3</v>
      </c>
      <c r="F51" s="204">
        <f t="shared" si="28"/>
        <v>-2.1950286050971331E-2</v>
      </c>
      <c r="G51" s="204"/>
      <c r="H51" s="204"/>
      <c r="I51" s="186"/>
      <c r="J51" s="186"/>
      <c r="K51" s="188"/>
      <c r="L51" s="189"/>
    </row>
    <row r="52" spans="2:12">
      <c r="B52" s="186"/>
      <c r="C52" s="193">
        <v>45587</v>
      </c>
      <c r="D52" s="202">
        <v>106.64</v>
      </c>
      <c r="E52" s="204">
        <f t="shared" si="27"/>
        <v>9.4002632073698061E-3</v>
      </c>
      <c r="F52" s="204">
        <f t="shared" si="28"/>
        <v>2.8171677942608322E-3</v>
      </c>
      <c r="G52" s="204"/>
      <c r="H52" s="204"/>
      <c r="I52" s="186"/>
      <c r="J52" s="186"/>
      <c r="K52" s="188"/>
      <c r="L52" s="189"/>
    </row>
    <row r="53" spans="2:12">
      <c r="B53" s="186"/>
      <c r="C53" s="193">
        <v>45588</v>
      </c>
      <c r="D53" s="202">
        <v>106.38</v>
      </c>
      <c r="E53" s="204">
        <f t="shared" si="27"/>
        <v>9.4446543256516812E-3</v>
      </c>
      <c r="F53" s="204">
        <f t="shared" si="28"/>
        <v>-2.4410865562817441E-3</v>
      </c>
      <c r="G53" s="204"/>
      <c r="H53" s="204"/>
      <c r="I53" s="186"/>
      <c r="J53" s="186"/>
      <c r="K53" s="188"/>
      <c r="L53" s="189"/>
    </row>
    <row r="54" spans="2:12">
      <c r="B54" s="186"/>
      <c r="C54" s="193">
        <v>45589</v>
      </c>
      <c r="D54" s="202">
        <v>105.88</v>
      </c>
      <c r="E54" s="204">
        <f t="shared" si="27"/>
        <v>9.6172340834775917E-3</v>
      </c>
      <c r="F54" s="204">
        <f t="shared" si="28"/>
        <v>-4.7112119552709759E-3</v>
      </c>
      <c r="G54" s="204"/>
      <c r="H54" s="204"/>
      <c r="I54" s="186"/>
      <c r="J54" s="186"/>
      <c r="K54" s="188"/>
      <c r="L54" s="189"/>
    </row>
    <row r="55" spans="2:12">
      <c r="B55" s="186"/>
      <c r="C55" s="193">
        <v>45590</v>
      </c>
      <c r="D55" s="202">
        <v>103.98</v>
      </c>
      <c r="E55" s="204">
        <f t="shared" si="27"/>
        <v>2.8782500239854167E-2</v>
      </c>
      <c r="F55" s="204">
        <f t="shared" si="28"/>
        <v>-1.8107804403330739E-2</v>
      </c>
      <c r="G55" s="204"/>
      <c r="H55" s="204"/>
      <c r="I55" s="186"/>
      <c r="J55" s="186"/>
      <c r="K55" s="188"/>
      <c r="L55" s="189"/>
    </row>
    <row r="56" spans="2:12">
      <c r="B56" s="186"/>
      <c r="C56" s="193">
        <v>45593</v>
      </c>
      <c r="D56" s="202">
        <v>104.23</v>
      </c>
      <c r="E56" s="204">
        <f t="shared" si="27"/>
        <v>9.6404126096596935E-3</v>
      </c>
      <c r="F56" s="204">
        <f t="shared" si="28"/>
        <v>2.4014227956611809E-3</v>
      </c>
      <c r="G56" s="204"/>
      <c r="H56" s="204"/>
      <c r="I56" s="186"/>
      <c r="J56" s="186"/>
      <c r="K56" s="188"/>
      <c r="L56" s="189"/>
    </row>
    <row r="57" spans="2:12">
      <c r="B57" s="186"/>
      <c r="C57" s="193">
        <v>45594</v>
      </c>
      <c r="D57" s="202">
        <v>103.73</v>
      </c>
      <c r="E57" s="204">
        <f t="shared" si="27"/>
        <v>9.5392540303348271E-3</v>
      </c>
      <c r="F57" s="204">
        <f t="shared" si="28"/>
        <v>-4.8086263074941975E-3</v>
      </c>
      <c r="G57" s="204"/>
      <c r="H57" s="204"/>
      <c r="I57" s="186"/>
      <c r="J57" s="186"/>
      <c r="K57" s="188"/>
      <c r="L57" s="189"/>
    </row>
    <row r="58" spans="2:12">
      <c r="B58" s="186"/>
      <c r="C58" s="193">
        <v>45595</v>
      </c>
      <c r="D58" s="202">
        <v>104.83</v>
      </c>
      <c r="E58" s="204">
        <f t="shared" si="27"/>
        <v>9.7732603596559827E-3</v>
      </c>
      <c r="F58" s="204">
        <f t="shared" si="28"/>
        <v>1.0548621020744541E-2</v>
      </c>
      <c r="G58" s="204"/>
      <c r="H58" s="204"/>
      <c r="I58" s="186"/>
      <c r="J58" s="186"/>
      <c r="K58" s="188"/>
      <c r="L58" s="189"/>
    </row>
    <row r="59" spans="2:12">
      <c r="B59" s="186"/>
      <c r="C59" s="193">
        <v>45596</v>
      </c>
      <c r="D59" s="202">
        <v>102.32</v>
      </c>
      <c r="E59" s="204">
        <f t="shared" si="27"/>
        <v>9.8154691794267775E-3</v>
      </c>
      <c r="F59" s="204">
        <f t="shared" si="28"/>
        <v>-2.4234833193894113E-2</v>
      </c>
      <c r="G59" s="204"/>
      <c r="H59" s="204"/>
      <c r="I59" s="186"/>
      <c r="J59" s="186"/>
      <c r="K59" s="188"/>
      <c r="L59" s="189"/>
    </row>
    <row r="60" spans="2:12">
      <c r="B60" s="186"/>
      <c r="C60" s="193">
        <v>45597</v>
      </c>
      <c r="D60" s="202">
        <v>101.88</v>
      </c>
      <c r="E60" s="204">
        <f t="shared" si="27"/>
        <v>2.9449298125061352E-2</v>
      </c>
      <c r="F60" s="204">
        <f t="shared" si="28"/>
        <v>-4.3095071593309327E-3</v>
      </c>
      <c r="G60" s="204"/>
      <c r="H60" s="204"/>
      <c r="I60" s="186"/>
      <c r="J60" s="186"/>
      <c r="K60" s="188"/>
      <c r="L60" s="189"/>
    </row>
    <row r="61" spans="2:12">
      <c r="B61" s="186"/>
      <c r="C61" s="193">
        <v>45600</v>
      </c>
      <c r="D61" s="202">
        <v>101.87</v>
      </c>
      <c r="E61" s="204">
        <f t="shared" si="27"/>
        <v>9.8376783079193297E-3</v>
      </c>
      <c r="F61" s="204">
        <f t="shared" si="28"/>
        <v>-9.8159509281196933E-5</v>
      </c>
      <c r="G61" s="204"/>
      <c r="H61" s="204"/>
      <c r="I61" s="186"/>
      <c r="J61" s="186"/>
      <c r="K61" s="188"/>
      <c r="L61" s="189"/>
    </row>
    <row r="62" spans="2:12">
      <c r="B62" s="186"/>
      <c r="C62" s="193">
        <v>45601</v>
      </c>
      <c r="D62" s="202">
        <v>101.65</v>
      </c>
      <c r="E62" s="204">
        <f t="shared" si="27"/>
        <v>9.0686496780629372E-3</v>
      </c>
      <c r="F62" s="204">
        <f t="shared" si="28"/>
        <v>-2.161950527619365E-3</v>
      </c>
      <c r="G62" s="204">
        <f t="shared" ref="G62:G70" si="29">_xlfn.STDEV.P(F40:F61)</f>
        <v>1.0414176684675891E-2</v>
      </c>
      <c r="H62" s="204">
        <f t="shared" ref="H62:H70" si="30">G62*SQRT(252)</f>
        <v>0.16531992970283718</v>
      </c>
      <c r="I62" s="186"/>
      <c r="J62" s="186"/>
      <c r="K62" s="188"/>
      <c r="L62" s="189"/>
    </row>
    <row r="63" spans="2:12">
      <c r="C63" s="193">
        <v>45602</v>
      </c>
      <c r="D63" s="203">
        <f t="shared" ref="D63:D70" si="31">D43</f>
        <v>110.27</v>
      </c>
      <c r="E63" s="206">
        <f t="shared" si="27"/>
        <v>9.140767824497258E-3</v>
      </c>
      <c r="F63" s="205">
        <f t="shared" si="28"/>
        <v>8.1396363696231488E-2</v>
      </c>
      <c r="G63" s="205">
        <f t="shared" si="29"/>
        <v>1.0178884966555416E-2</v>
      </c>
      <c r="H63" s="205">
        <f t="shared" si="30"/>
        <v>0.16158478947263788</v>
      </c>
    </row>
    <row r="64" spans="2:12">
      <c r="C64" s="193">
        <v>45603</v>
      </c>
      <c r="D64" s="203">
        <f t="shared" si="31"/>
        <v>109.4</v>
      </c>
      <c r="E64" s="206">
        <f t="shared" si="27"/>
        <v>9.1132780461131869E-3</v>
      </c>
      <c r="F64" s="205">
        <f t="shared" si="28"/>
        <v>-7.9210137827062516E-3</v>
      </c>
      <c r="G64" s="205">
        <f t="shared" si="29"/>
        <v>2.0277303809885582E-2</v>
      </c>
      <c r="H64" s="205">
        <f t="shared" si="30"/>
        <v>0.32189221883915881</v>
      </c>
    </row>
    <row r="65" spans="3:8">
      <c r="C65" s="193">
        <v>45604</v>
      </c>
      <c r="D65" s="203">
        <f t="shared" si="31"/>
        <v>109.73</v>
      </c>
      <c r="E65" s="206">
        <f t="shared" si="27"/>
        <v>2.7349803993071384E-2</v>
      </c>
      <c r="F65" s="205">
        <f t="shared" si="28"/>
        <v>3.0119130148268405E-3</v>
      </c>
      <c r="G65" s="205">
        <f t="shared" si="29"/>
        <v>2.0355694466108794E-2</v>
      </c>
      <c r="H65" s="205">
        <f t="shared" si="30"/>
        <v>0.32313663192802544</v>
      </c>
    </row>
    <row r="66" spans="3:8">
      <c r="C66" s="193">
        <v>45607</v>
      </c>
      <c r="D66" s="203">
        <f t="shared" si="31"/>
        <v>109.69</v>
      </c>
      <c r="E66" s="206">
        <f t="shared" si="27"/>
        <v>8.9661974356675337E-3</v>
      </c>
      <c r="F66" s="205">
        <f t="shared" si="28"/>
        <v>-3.6459757946500368E-4</v>
      </c>
      <c r="G66" s="205">
        <f t="shared" si="29"/>
        <v>2.0080314127860752E-2</v>
      </c>
      <c r="H66" s="205">
        <f t="shared" si="30"/>
        <v>0.31876510458225843</v>
      </c>
    </row>
    <row r="67" spans="3:8">
      <c r="C67" s="193">
        <v>45608</v>
      </c>
      <c r="D67" s="203">
        <f t="shared" si="31"/>
        <v>111.53</v>
      </c>
      <c r="E67" s="206">
        <f t="shared" si="27"/>
        <v>9.056330374932078E-3</v>
      </c>
      <c r="F67" s="205">
        <f t="shared" si="28"/>
        <v>1.6635407583202821E-2</v>
      </c>
      <c r="G67" s="205">
        <f t="shared" si="29"/>
        <v>2.001020838984446E-2</v>
      </c>
      <c r="H67" s="205">
        <f t="shared" si="30"/>
        <v>0.31765221049263992</v>
      </c>
    </row>
    <row r="68" spans="3:8">
      <c r="C68" s="193">
        <v>45609</v>
      </c>
      <c r="D68" s="203">
        <f t="shared" si="31"/>
        <v>110.42</v>
      </c>
      <c r="E68" s="206">
        <f t="shared" si="27"/>
        <v>9.1116173120728925E-3</v>
      </c>
      <c r="F68" s="205">
        <f t="shared" si="28"/>
        <v>-1.0002336150547016E-2</v>
      </c>
      <c r="G68" s="205">
        <f t="shared" si="29"/>
        <v>2.0298830907505491E-2</v>
      </c>
      <c r="H68" s="205">
        <f t="shared" si="30"/>
        <v>0.32223395091966656</v>
      </c>
    </row>
    <row r="69" spans="3:8">
      <c r="C69" s="193">
        <v>45610</v>
      </c>
      <c r="D69" s="203">
        <f t="shared" si="31"/>
        <v>109.75</v>
      </c>
      <c r="E69" s="206">
        <f t="shared" si="27"/>
        <v>9.1996320147194107E-3</v>
      </c>
      <c r="F69" s="205">
        <f t="shared" si="28"/>
        <v>-6.0862249006177959E-3</v>
      </c>
      <c r="G69" s="205">
        <f t="shared" si="29"/>
        <v>2.042156091420504E-2</v>
      </c>
      <c r="H69" s="205">
        <f t="shared" si="30"/>
        <v>0.3241822293764603</v>
      </c>
    </row>
    <row r="70" spans="3:8">
      <c r="C70" s="193">
        <v>45611</v>
      </c>
      <c r="D70" s="203">
        <f t="shared" si="31"/>
        <v>108.7</v>
      </c>
      <c r="E70" s="206">
        <v>0</v>
      </c>
      <c r="F70" s="205">
        <f t="shared" si="28"/>
        <v>-9.6132578281169171E-3</v>
      </c>
      <c r="G70" s="205">
        <f t="shared" si="29"/>
        <v>2.0142021890293248E-2</v>
      </c>
      <c r="H70" s="205">
        <f t="shared" si="30"/>
        <v>0.31974468494241026</v>
      </c>
    </row>
  </sheetData>
  <mergeCells count="3">
    <mergeCell ref="B4:AC6"/>
    <mergeCell ref="B20:AC22"/>
    <mergeCell ref="B37:K37"/>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10B71-EE8E-43CE-A058-F053A2593B62}">
  <dimension ref="A2:S131"/>
  <sheetViews>
    <sheetView showGridLines="0" zoomScale="65" workbookViewId="0">
      <selection activeCell="H21" sqref="H21"/>
    </sheetView>
  </sheetViews>
  <sheetFormatPr defaultColWidth="11.5703125" defaultRowHeight="13.9"/>
  <cols>
    <col min="1" max="1" width="19.7109375" style="196" customWidth="1"/>
    <col min="2" max="2" width="17.7109375" style="196" customWidth="1"/>
    <col min="3" max="3" width="19" style="196" bestFit="1" customWidth="1"/>
    <col min="4" max="4" width="18.7109375" style="196" bestFit="1" customWidth="1"/>
    <col min="5" max="5" width="17.28515625" style="196" bestFit="1" customWidth="1"/>
    <col min="6" max="6" width="26.7109375" style="196" bestFit="1" customWidth="1"/>
    <col min="7" max="7" width="14.140625" style="196" customWidth="1"/>
    <col min="8" max="8" width="18.42578125" style="196" bestFit="1" customWidth="1"/>
    <col min="9" max="9" width="21.7109375" style="196" bestFit="1" customWidth="1"/>
    <col min="10" max="11" width="25.7109375" style="196" bestFit="1" customWidth="1"/>
    <col min="12" max="12" width="21" style="196" bestFit="1" customWidth="1"/>
    <col min="13" max="13" width="27.42578125" style="196" bestFit="1" customWidth="1"/>
    <col min="14" max="14" width="27.7109375" style="196" bestFit="1" customWidth="1"/>
    <col min="15" max="15" width="23.42578125" style="196" bestFit="1" customWidth="1"/>
    <col min="16" max="16" width="15.140625" style="196" bestFit="1" customWidth="1"/>
    <col min="17" max="17" width="20" style="196" bestFit="1" customWidth="1"/>
    <col min="18" max="18" width="16.7109375" style="196" bestFit="1" customWidth="1"/>
    <col min="19" max="19" width="21.7109375" style="196" bestFit="1" customWidth="1"/>
    <col min="20" max="16384" width="11.5703125" style="196"/>
  </cols>
  <sheetData>
    <row r="2" spans="1:15" ht="24.6">
      <c r="A2" s="439" t="s">
        <v>266</v>
      </c>
      <c r="B2" s="439"/>
      <c r="C2" s="451"/>
      <c r="D2" s="451"/>
      <c r="E2" s="451"/>
      <c r="F2" s="451"/>
      <c r="G2" s="451"/>
      <c r="H2" s="451"/>
      <c r="I2" s="451"/>
      <c r="J2" s="451"/>
      <c r="K2" s="451"/>
      <c r="L2" s="451"/>
      <c r="M2" s="451"/>
      <c r="N2" s="451"/>
      <c r="O2" s="451"/>
    </row>
    <row r="3" spans="1:15">
      <c r="A3" s="186"/>
      <c r="B3" s="186"/>
      <c r="C3" s="186"/>
      <c r="D3" s="187"/>
      <c r="E3" s="186"/>
      <c r="F3" s="186"/>
      <c r="G3" s="186"/>
      <c r="H3" s="186"/>
      <c r="I3" s="186"/>
      <c r="J3" s="186"/>
      <c r="K3" s="186"/>
      <c r="L3" s="188"/>
      <c r="M3" s="189"/>
    </row>
    <row r="4" spans="1:15" ht="15.6">
      <c r="A4" s="190" t="s">
        <v>223</v>
      </c>
      <c r="B4" s="190" t="s">
        <v>244</v>
      </c>
      <c r="C4" s="190" t="s">
        <v>245</v>
      </c>
      <c r="D4" s="191" t="s">
        <v>246</v>
      </c>
      <c r="E4" s="191" t="s">
        <v>247</v>
      </c>
      <c r="F4" s="192" t="s">
        <v>265</v>
      </c>
      <c r="G4" s="186"/>
      <c r="H4" s="440" t="s">
        <v>267</v>
      </c>
      <c r="I4" s="440"/>
      <c r="J4" s="219"/>
      <c r="K4" s="219"/>
    </row>
    <row r="5" spans="1:15" ht="15.6">
      <c r="A5" s="193">
        <v>45569</v>
      </c>
      <c r="B5" s="202">
        <v>109.77</v>
      </c>
      <c r="C5" s="204">
        <f t="shared" ref="C5:C34" si="0">(A6-A5)/B6</f>
        <v>2.7626853301408967E-2</v>
      </c>
      <c r="D5" s="194"/>
      <c r="E5" s="194"/>
      <c r="F5" s="195"/>
      <c r="G5" s="186"/>
      <c r="H5" s="220" t="s">
        <v>223</v>
      </c>
      <c r="I5" s="220" t="s">
        <v>257</v>
      </c>
      <c r="J5" s="220" t="s">
        <v>268</v>
      </c>
      <c r="K5" s="220" t="s">
        <v>269</v>
      </c>
    </row>
    <row r="6" spans="1:15" ht="15">
      <c r="A6" s="193">
        <v>45572</v>
      </c>
      <c r="B6" s="202">
        <v>108.59</v>
      </c>
      <c r="C6" s="204">
        <f t="shared" si="0"/>
        <v>9.2148912642830826E-3</v>
      </c>
      <c r="D6" s="204">
        <f t="shared" ref="D6:D35" si="1">LN(B6/B5)</f>
        <v>-1.0807945470415938E-2</v>
      </c>
      <c r="E6" s="204"/>
      <c r="F6" s="204"/>
      <c r="G6" s="186"/>
      <c r="H6" s="221">
        <v>45601</v>
      </c>
      <c r="I6" s="222">
        <v>0.31974488499999998</v>
      </c>
      <c r="J6" s="222">
        <v>0.22467036082365099</v>
      </c>
      <c r="K6" s="223">
        <v>0.25147382940983898</v>
      </c>
    </row>
    <row r="7" spans="1:15" ht="15">
      <c r="A7" s="193">
        <v>45573</v>
      </c>
      <c r="B7" s="202">
        <v>108.52</v>
      </c>
      <c r="C7" s="204">
        <f t="shared" si="0"/>
        <v>9.0686496780629372E-3</v>
      </c>
      <c r="D7" s="204">
        <f t="shared" si="1"/>
        <v>-6.4483443807811453E-4</v>
      </c>
      <c r="E7" s="204"/>
      <c r="F7" s="204"/>
      <c r="G7" s="186"/>
      <c r="H7" s="219"/>
      <c r="I7" s="219"/>
      <c r="J7" s="219"/>
      <c r="K7" s="219"/>
    </row>
    <row r="8" spans="1:15" ht="15">
      <c r="A8" s="193">
        <v>45574</v>
      </c>
      <c r="B8" s="202">
        <v>110.27</v>
      </c>
      <c r="C8" s="204">
        <f t="shared" si="0"/>
        <v>9.140767824497258E-3</v>
      </c>
      <c r="D8" s="204">
        <f t="shared" si="1"/>
        <v>1.5997415979856214E-2</v>
      </c>
      <c r="E8" s="204"/>
      <c r="F8" s="204"/>
      <c r="G8" s="186"/>
      <c r="H8" s="219"/>
      <c r="I8" s="219"/>
      <c r="J8" s="219"/>
      <c r="K8" s="219"/>
    </row>
    <row r="9" spans="1:15" ht="15.6">
      <c r="A9" s="193">
        <v>45575</v>
      </c>
      <c r="B9" s="202">
        <v>109.4</v>
      </c>
      <c r="C9" s="204">
        <f t="shared" si="0"/>
        <v>9.1132780461131869E-3</v>
      </c>
      <c r="D9" s="204">
        <f t="shared" si="1"/>
        <v>-7.9210137827062516E-3</v>
      </c>
      <c r="E9" s="204"/>
      <c r="F9" s="204"/>
      <c r="G9" s="186"/>
      <c r="H9" s="224" t="s">
        <v>270</v>
      </c>
      <c r="I9" s="224" t="s">
        <v>271</v>
      </c>
      <c r="J9" s="224" t="s">
        <v>272</v>
      </c>
      <c r="K9" s="224" t="s">
        <v>273</v>
      </c>
      <c r="L9" s="224" t="s">
        <v>274</v>
      </c>
    </row>
    <row r="10" spans="1:15" ht="15">
      <c r="A10" s="193">
        <v>45576</v>
      </c>
      <c r="B10" s="202">
        <v>109.73</v>
      </c>
      <c r="C10" s="204">
        <f t="shared" si="0"/>
        <v>2.7349803993071384E-2</v>
      </c>
      <c r="D10" s="204">
        <f t="shared" si="1"/>
        <v>3.0119130148268405E-3</v>
      </c>
      <c r="E10" s="204"/>
      <c r="F10" s="204"/>
      <c r="G10" s="186"/>
      <c r="H10" s="225" t="s">
        <v>275</v>
      </c>
      <c r="I10" s="226">
        <v>1.63</v>
      </c>
      <c r="J10" s="227">
        <f>B45+I10</f>
        <v>103.63</v>
      </c>
      <c r="K10" s="228"/>
      <c r="L10" s="198"/>
    </row>
    <row r="11" spans="1:15" ht="15">
      <c r="A11" s="193">
        <v>45579</v>
      </c>
      <c r="B11" s="202">
        <v>109.69</v>
      </c>
      <c r="C11" s="204">
        <f t="shared" si="0"/>
        <v>8.9661974356675337E-3</v>
      </c>
      <c r="D11" s="204">
        <f t="shared" si="1"/>
        <v>-3.6459757946500368E-4</v>
      </c>
      <c r="E11" s="204"/>
      <c r="F11" s="204"/>
      <c r="G11" s="186"/>
      <c r="H11" s="225" t="s">
        <v>276</v>
      </c>
      <c r="I11" s="226">
        <v>2.0150000000000001</v>
      </c>
      <c r="J11" s="227"/>
      <c r="K11" s="228">
        <f>B45-I11</f>
        <v>99.984999999999999</v>
      </c>
      <c r="L11" s="198"/>
    </row>
    <row r="12" spans="1:15" ht="15.6">
      <c r="A12" s="193">
        <v>45580</v>
      </c>
      <c r="B12" s="202">
        <v>111.53</v>
      </c>
      <c r="C12" s="204">
        <f t="shared" si="0"/>
        <v>9.056330374932078E-3</v>
      </c>
      <c r="D12" s="204">
        <f t="shared" si="1"/>
        <v>1.6635407583202821E-2</v>
      </c>
      <c r="E12" s="204"/>
      <c r="F12" s="204"/>
      <c r="G12" s="186"/>
      <c r="H12" s="225" t="s">
        <v>277</v>
      </c>
      <c r="I12" s="229">
        <f>I10+I11</f>
        <v>3.645</v>
      </c>
      <c r="J12" s="227">
        <f>B45+I12</f>
        <v>105.645</v>
      </c>
      <c r="K12" s="228">
        <f>B45-I12</f>
        <v>98.355000000000004</v>
      </c>
      <c r="L12" s="198">
        <f>I12</f>
        <v>3.645</v>
      </c>
    </row>
    <row r="13" spans="1:15">
      <c r="A13" s="193">
        <v>45581</v>
      </c>
      <c r="B13" s="202">
        <v>110.42</v>
      </c>
      <c r="C13" s="204">
        <f t="shared" si="0"/>
        <v>9.1116173120728925E-3</v>
      </c>
      <c r="D13" s="204">
        <f t="shared" si="1"/>
        <v>-1.0002336150547016E-2</v>
      </c>
      <c r="E13" s="204"/>
      <c r="F13" s="204"/>
      <c r="G13" s="186"/>
      <c r="H13" s="186"/>
      <c r="I13" s="188"/>
      <c r="J13" s="189"/>
    </row>
    <row r="14" spans="1:15">
      <c r="A14" s="193">
        <v>45582</v>
      </c>
      <c r="B14" s="202">
        <v>109.75</v>
      </c>
      <c r="C14" s="204">
        <f t="shared" si="0"/>
        <v>9.1996320147194107E-3</v>
      </c>
      <c r="D14" s="204">
        <f t="shared" si="1"/>
        <v>-6.0862249006177959E-3</v>
      </c>
      <c r="E14" s="204"/>
      <c r="F14" s="204"/>
      <c r="G14" s="186"/>
      <c r="H14" s="186"/>
      <c r="I14" s="188"/>
      <c r="J14" s="189"/>
    </row>
    <row r="15" spans="1:15">
      <c r="A15" s="193">
        <v>45583</v>
      </c>
      <c r="B15" s="202">
        <v>108.7</v>
      </c>
      <c r="C15" s="204">
        <f t="shared" si="0"/>
        <v>2.8211397404551437E-2</v>
      </c>
      <c r="D15" s="204">
        <f t="shared" si="1"/>
        <v>-9.6132578281169171E-3</v>
      </c>
      <c r="E15" s="204"/>
      <c r="F15" s="204"/>
      <c r="G15" s="186"/>
      <c r="H15" s="186"/>
      <c r="I15" s="188"/>
      <c r="J15" s="189"/>
    </row>
    <row r="16" spans="1:15">
      <c r="A16" s="193">
        <v>45586</v>
      </c>
      <c r="B16" s="202">
        <v>106.34</v>
      </c>
      <c r="C16" s="204">
        <f t="shared" si="0"/>
        <v>9.377344336084021E-3</v>
      </c>
      <c r="D16" s="204">
        <f t="shared" si="1"/>
        <v>-2.1950286050971331E-2</v>
      </c>
      <c r="E16" s="204"/>
      <c r="F16" s="204"/>
      <c r="G16" s="186"/>
    </row>
    <row r="17" spans="1:16">
      <c r="A17" s="193">
        <v>45587</v>
      </c>
      <c r="B17" s="202">
        <v>106.64</v>
      </c>
      <c r="C17" s="204">
        <f t="shared" si="0"/>
        <v>9.4002632073698061E-3</v>
      </c>
      <c r="D17" s="204">
        <f t="shared" si="1"/>
        <v>2.8171677942608322E-3</v>
      </c>
      <c r="E17" s="204"/>
      <c r="F17" s="204"/>
      <c r="G17" s="186"/>
      <c r="H17" s="230"/>
      <c r="I17" s="230"/>
      <c r="J17" s="230"/>
      <c r="K17" s="230"/>
      <c r="L17" s="230"/>
      <c r="M17" s="230"/>
      <c r="N17" s="230"/>
    </row>
    <row r="18" spans="1:16">
      <c r="A18" s="193">
        <v>45588</v>
      </c>
      <c r="B18" s="202">
        <v>106.38</v>
      </c>
      <c r="C18" s="204">
        <f t="shared" si="0"/>
        <v>9.4446543256516812E-3</v>
      </c>
      <c r="D18" s="204">
        <f t="shared" si="1"/>
        <v>-2.4410865562817441E-3</v>
      </c>
      <c r="E18" s="204"/>
      <c r="F18" s="204"/>
      <c r="G18" s="186"/>
    </row>
    <row r="19" spans="1:16">
      <c r="A19" s="193">
        <v>45589</v>
      </c>
      <c r="B19" s="202">
        <v>105.88</v>
      </c>
      <c r="C19" s="204">
        <f t="shared" si="0"/>
        <v>9.6172340834775917E-3</v>
      </c>
      <c r="D19" s="204">
        <f t="shared" si="1"/>
        <v>-4.7112119552709759E-3</v>
      </c>
      <c r="E19" s="204"/>
      <c r="F19" s="204"/>
      <c r="G19" s="186"/>
      <c r="H19" s="240"/>
      <c r="I19" s="264"/>
      <c r="J19" s="264"/>
      <c r="K19" s="264"/>
      <c r="L19" s="264"/>
      <c r="M19" s="264"/>
      <c r="N19" s="264"/>
    </row>
    <row r="20" spans="1:16">
      <c r="A20" s="193">
        <v>45590</v>
      </c>
      <c r="B20" s="202">
        <v>103.98</v>
      </c>
      <c r="C20" s="204">
        <f t="shared" si="0"/>
        <v>2.8782500239854167E-2</v>
      </c>
      <c r="D20" s="204">
        <f t="shared" si="1"/>
        <v>-1.8107804403330739E-2</v>
      </c>
      <c r="E20" s="204"/>
      <c r="F20" s="204"/>
      <c r="G20" s="186"/>
    </row>
    <row r="21" spans="1:16">
      <c r="A21" s="193">
        <v>45593</v>
      </c>
      <c r="B21" s="202">
        <v>104.23</v>
      </c>
      <c r="C21" s="204">
        <f t="shared" si="0"/>
        <v>9.6404126096596935E-3</v>
      </c>
      <c r="D21" s="204">
        <f t="shared" si="1"/>
        <v>2.4014227956611809E-3</v>
      </c>
      <c r="E21" s="204"/>
      <c r="F21" s="204"/>
      <c r="G21" s="186"/>
    </row>
    <row r="22" spans="1:16">
      <c r="A22" s="193">
        <v>45594</v>
      </c>
      <c r="B22" s="202">
        <v>103.73</v>
      </c>
      <c r="C22" s="204">
        <f t="shared" si="0"/>
        <v>9.5392540303348271E-3</v>
      </c>
      <c r="D22" s="204">
        <f t="shared" si="1"/>
        <v>-4.8086263074941975E-3</v>
      </c>
      <c r="E22" s="204"/>
      <c r="F22" s="204"/>
      <c r="G22" s="186"/>
    </row>
    <row r="23" spans="1:16">
      <c r="A23" s="193">
        <v>45595</v>
      </c>
      <c r="B23" s="202">
        <v>104.83</v>
      </c>
      <c r="C23" s="204">
        <f t="shared" si="0"/>
        <v>9.7732603596559827E-3</v>
      </c>
      <c r="D23" s="204">
        <f t="shared" si="1"/>
        <v>1.0548621020744541E-2</v>
      </c>
      <c r="E23" s="204"/>
      <c r="F23" s="204"/>
      <c r="G23" s="186"/>
    </row>
    <row r="24" spans="1:16">
      <c r="A24" s="193">
        <v>45596</v>
      </c>
      <c r="B24" s="202">
        <v>102.32</v>
      </c>
      <c r="C24" s="204">
        <f t="shared" si="0"/>
        <v>9.8154691794267775E-3</v>
      </c>
      <c r="D24" s="204">
        <f t="shared" si="1"/>
        <v>-2.4234833193894113E-2</v>
      </c>
      <c r="E24" s="204"/>
      <c r="F24" s="204"/>
      <c r="G24" s="186"/>
    </row>
    <row r="25" spans="1:16">
      <c r="A25" s="193">
        <v>45597</v>
      </c>
      <c r="B25" s="202">
        <v>101.88</v>
      </c>
      <c r="C25" s="204">
        <f t="shared" si="0"/>
        <v>2.9449298125061352E-2</v>
      </c>
      <c r="D25" s="204">
        <f t="shared" si="1"/>
        <v>-4.3095071593309327E-3</v>
      </c>
      <c r="E25" s="204"/>
      <c r="F25" s="204"/>
      <c r="G25" s="186"/>
    </row>
    <row r="26" spans="1:16">
      <c r="A26" s="193">
        <v>45600</v>
      </c>
      <c r="B26" s="202">
        <v>101.87</v>
      </c>
      <c r="C26" s="204">
        <f t="shared" si="0"/>
        <v>9.8376783079193297E-3</v>
      </c>
      <c r="D26" s="204">
        <f t="shared" si="1"/>
        <v>-9.8159509281196933E-5</v>
      </c>
      <c r="E26" s="204"/>
      <c r="F26" s="204"/>
      <c r="G26" s="186"/>
    </row>
    <row r="27" spans="1:16">
      <c r="A27" s="193">
        <v>45601</v>
      </c>
      <c r="B27" s="202">
        <v>101.65</v>
      </c>
      <c r="C27" s="204">
        <f t="shared" si="0"/>
        <v>9.9275290380224351E-3</v>
      </c>
      <c r="D27" s="204">
        <f t="shared" si="1"/>
        <v>-2.161950527619365E-3</v>
      </c>
      <c r="E27" s="204">
        <f t="shared" ref="E27:E35" si="2">_xlfn.STDEV.P(D5:D26)</f>
        <v>1.0414176684675891E-2</v>
      </c>
      <c r="F27" s="204">
        <f t="shared" ref="F27:F35" si="3">E27*SQRT(252)</f>
        <v>0.16531992970283718</v>
      </c>
      <c r="G27" s="186"/>
    </row>
    <row r="28" spans="1:16">
      <c r="A28" s="193">
        <v>45602</v>
      </c>
      <c r="B28" s="265">
        <v>100.73</v>
      </c>
      <c r="C28" s="266">
        <f t="shared" si="0"/>
        <v>9.8843530690916285E-3</v>
      </c>
      <c r="D28" s="267">
        <f t="shared" si="1"/>
        <v>-9.0918701197659074E-3</v>
      </c>
      <c r="E28" s="267">
        <f t="shared" si="2"/>
        <v>1.0178884966555416E-2</v>
      </c>
      <c r="F28" s="267">
        <f t="shared" si="3"/>
        <v>0.16158478947263788</v>
      </c>
    </row>
    <row r="29" spans="1:16" s="230" customFormat="1">
      <c r="A29" s="193">
        <v>45603</v>
      </c>
      <c r="B29" s="265">
        <v>101.17</v>
      </c>
      <c r="C29" s="266">
        <f t="shared" si="0"/>
        <v>9.7162844928099495E-3</v>
      </c>
      <c r="D29" s="267">
        <f t="shared" si="1"/>
        <v>4.3586002632092762E-3</v>
      </c>
      <c r="E29" s="267">
        <f t="shared" si="2"/>
        <v>1.0128984815748714E-2</v>
      </c>
      <c r="F29" s="267">
        <f t="shared" si="3"/>
        <v>0.16079264913612296</v>
      </c>
      <c r="H29" s="196"/>
      <c r="I29" s="196"/>
      <c r="J29" s="196"/>
      <c r="K29" s="196"/>
      <c r="L29" s="196"/>
      <c r="M29" s="196"/>
      <c r="N29" s="196"/>
    </row>
    <row r="30" spans="1:16">
      <c r="A30" s="193">
        <v>45604</v>
      </c>
      <c r="B30" s="265">
        <v>102.92</v>
      </c>
      <c r="C30" s="266">
        <f t="shared" si="0"/>
        <v>2.9782587114067307E-2</v>
      </c>
      <c r="D30" s="267">
        <f t="shared" si="1"/>
        <v>1.7149717195744381E-2</v>
      </c>
      <c r="E30" s="267">
        <f t="shared" si="2"/>
        <v>1.0244153596831352E-2</v>
      </c>
      <c r="F30" s="267">
        <f t="shared" si="3"/>
        <v>0.16262089685738157</v>
      </c>
    </row>
    <row r="31" spans="1:16">
      <c r="A31" s="193">
        <v>45607</v>
      </c>
      <c r="B31" s="265">
        <v>100.73</v>
      </c>
      <c r="C31" s="266">
        <f t="shared" si="0"/>
        <v>1.0144045445323595E-2</v>
      </c>
      <c r="D31" s="267">
        <f t="shared" si="1"/>
        <v>-2.1508317458953617E-2</v>
      </c>
      <c r="E31" s="267">
        <f t="shared" si="2"/>
        <v>1.0344565608588834E-2</v>
      </c>
      <c r="F31" s="267">
        <f t="shared" si="3"/>
        <v>0.1642148881279055</v>
      </c>
      <c r="O31" s="264"/>
      <c r="P31" s="264"/>
    </row>
    <row r="32" spans="1:16">
      <c r="A32" s="193">
        <v>45608</v>
      </c>
      <c r="B32" s="265">
        <v>98.58</v>
      </c>
      <c r="C32" s="266">
        <f t="shared" si="0"/>
        <v>1.015228426395939E-2</v>
      </c>
      <c r="D32" s="267">
        <f t="shared" si="1"/>
        <v>-2.1575268677358067E-2</v>
      </c>
      <c r="E32" s="267">
        <f t="shared" si="2"/>
        <v>1.099687943924618E-2</v>
      </c>
      <c r="F32" s="267">
        <f t="shared" si="3"/>
        <v>0.17457004916402893</v>
      </c>
      <c r="O32" s="264"/>
      <c r="P32" s="264"/>
    </row>
    <row r="33" spans="1:19">
      <c r="A33" s="193">
        <v>45609</v>
      </c>
      <c r="B33" s="265">
        <v>98.5</v>
      </c>
      <c r="C33" s="266">
        <f t="shared" si="0"/>
        <v>1.0166734444896299E-2</v>
      </c>
      <c r="D33" s="267">
        <f t="shared" si="1"/>
        <v>-8.1185309918849376E-4</v>
      </c>
      <c r="E33" s="267">
        <f t="shared" si="2"/>
        <v>1.1490861457388918E-2</v>
      </c>
      <c r="F33" s="267">
        <f t="shared" si="3"/>
        <v>0.18241177059688982</v>
      </c>
      <c r="O33" s="264"/>
      <c r="P33" s="264"/>
    </row>
    <row r="34" spans="1:19">
      <c r="A34" s="193">
        <v>45610</v>
      </c>
      <c r="B34" s="265">
        <v>98.36</v>
      </c>
      <c r="C34" s="266">
        <f t="shared" si="0"/>
        <v>1.0383137784238397E-2</v>
      </c>
      <c r="D34" s="267">
        <f t="shared" si="1"/>
        <v>-1.4223308300514341E-3</v>
      </c>
      <c r="E34" s="267">
        <f t="shared" si="2"/>
        <v>1.1483264427060826E-2</v>
      </c>
      <c r="F34" s="267">
        <f t="shared" si="3"/>
        <v>0.18229117147918533</v>
      </c>
      <c r="O34" s="264"/>
      <c r="P34" s="264"/>
    </row>
    <row r="35" spans="1:19">
      <c r="A35" s="193">
        <v>45611</v>
      </c>
      <c r="B35" s="265">
        <v>96.31</v>
      </c>
      <c r="C35" s="266">
        <v>0</v>
      </c>
      <c r="D35" s="267">
        <f t="shared" si="1"/>
        <v>-2.1062061775218882E-2</v>
      </c>
      <c r="E35" s="267">
        <f t="shared" si="2"/>
        <v>1.0520244686020891E-2</v>
      </c>
      <c r="F35" s="267">
        <f t="shared" si="3"/>
        <v>0.16700370702456038</v>
      </c>
      <c r="O35" s="264"/>
      <c r="P35" s="264"/>
    </row>
    <row r="36" spans="1:19" ht="15">
      <c r="A36" s="268"/>
      <c r="B36" s="269"/>
      <c r="C36" s="269"/>
      <c r="D36" s="270"/>
      <c r="E36" s="264"/>
      <c r="R36" s="264"/>
      <c r="S36" s="264"/>
    </row>
    <row r="37" spans="1:19" ht="15">
      <c r="A37" s="268"/>
      <c r="B37" s="269"/>
      <c r="C37" s="269"/>
      <c r="D37" s="270"/>
      <c r="E37" s="264"/>
      <c r="R37" s="264"/>
      <c r="S37" s="264"/>
    </row>
    <row r="38" spans="1:19" ht="15">
      <c r="A38" s="268"/>
      <c r="B38" s="269"/>
      <c r="C38" s="269"/>
      <c r="D38" s="270"/>
      <c r="E38" s="264"/>
      <c r="R38" s="264"/>
      <c r="S38" s="264"/>
    </row>
    <row r="39" spans="1:19" ht="15">
      <c r="A39" s="268"/>
      <c r="B39" s="269"/>
      <c r="C39" s="269"/>
      <c r="D39" s="270"/>
      <c r="E39" s="264"/>
      <c r="R39" s="264"/>
      <c r="S39" s="264"/>
    </row>
    <row r="40" spans="1:19" ht="15">
      <c r="A40" s="268"/>
      <c r="B40" s="269"/>
      <c r="C40" s="269"/>
      <c r="D40" s="270"/>
      <c r="E40" s="264"/>
      <c r="R40" s="264"/>
      <c r="S40" s="264"/>
    </row>
    <row r="41" spans="1:19" ht="15">
      <c r="A41" s="268"/>
      <c r="B41" s="269"/>
      <c r="C41" s="269"/>
      <c r="D41" s="270"/>
      <c r="E41" s="264"/>
      <c r="R41" s="264"/>
      <c r="S41" s="264"/>
    </row>
    <row r="42" spans="1:19" ht="20.45">
      <c r="A42" s="441" t="s">
        <v>278</v>
      </c>
      <c r="B42" s="441"/>
      <c r="C42" s="441"/>
    </row>
    <row r="43" spans="1:19" ht="15">
      <c r="A43" s="231"/>
      <c r="B43" s="231"/>
      <c r="C43" s="231"/>
      <c r="D43" s="231"/>
    </row>
    <row r="44" spans="1:19" ht="30">
      <c r="A44" s="232" t="s">
        <v>279</v>
      </c>
      <c r="B44" s="233">
        <v>96.31</v>
      </c>
      <c r="C44" s="234"/>
      <c r="D44" s="234"/>
    </row>
    <row r="45" spans="1:19" ht="15">
      <c r="A45" s="233" t="s">
        <v>280</v>
      </c>
      <c r="B45" s="233">
        <v>102</v>
      </c>
      <c r="C45" s="234"/>
      <c r="D45" s="234"/>
    </row>
    <row r="46" spans="1:19" ht="15">
      <c r="A46" s="233" t="s">
        <v>281</v>
      </c>
      <c r="B46" s="233">
        <v>1.63</v>
      </c>
      <c r="C46" s="234"/>
      <c r="D46" s="234"/>
    </row>
    <row r="47" spans="1:19" ht="15">
      <c r="A47" s="233" t="s">
        <v>282</v>
      </c>
      <c r="B47" s="233">
        <v>2.0150000000000001</v>
      </c>
      <c r="C47" s="234"/>
      <c r="D47" s="234"/>
    </row>
    <row r="48" spans="1:19" ht="15">
      <c r="A48" s="233" t="s">
        <v>277</v>
      </c>
      <c r="B48" s="227">
        <f>B46+B47</f>
        <v>3.645</v>
      </c>
      <c r="C48" s="234"/>
      <c r="D48" s="234"/>
    </row>
    <row r="49" spans="1:17" ht="15">
      <c r="A49" s="234"/>
      <c r="B49" s="234"/>
      <c r="C49" s="234"/>
      <c r="D49" s="234"/>
      <c r="E49" s="234"/>
    </row>
    <row r="50" spans="1:17" ht="20.45">
      <c r="A50" s="235" t="s">
        <v>283</v>
      </c>
      <c r="B50" s="235"/>
      <c r="C50" s="235"/>
    </row>
    <row r="51" spans="1:17" ht="15.6">
      <c r="A51" s="236" t="s">
        <v>284</v>
      </c>
      <c r="B51" s="236" t="s">
        <v>285</v>
      </c>
      <c r="C51" s="236" t="s">
        <v>286</v>
      </c>
      <c r="D51" s="236" t="s">
        <v>278</v>
      </c>
    </row>
    <row r="52" spans="1:17" ht="15">
      <c r="A52" s="237">
        <v>82</v>
      </c>
      <c r="B52" s="238">
        <f>MAX(A52-$B$45, 0) -$B$46</f>
        <v>-1.63</v>
      </c>
      <c r="C52" s="238">
        <f>MAX($B$45-A52,0)-$B$47</f>
        <v>17.984999999999999</v>
      </c>
      <c r="D52" s="238">
        <f>B52+C52</f>
        <v>16.355</v>
      </c>
    </row>
    <row r="53" spans="1:17" ht="15">
      <c r="A53" s="237">
        <v>83.5</v>
      </c>
      <c r="B53" s="238">
        <f t="shared" ref="B53:B78" si="4">MAX(A53-$B$45, 0) -$B$46</f>
        <v>-1.63</v>
      </c>
      <c r="C53" s="238">
        <f t="shared" ref="C53:C78" si="5">MAX($B$45-A53,0)-$B$47</f>
        <v>16.484999999999999</v>
      </c>
      <c r="D53" s="238">
        <f t="shared" ref="D53:D78" si="6">B53+C53</f>
        <v>14.855</v>
      </c>
    </row>
    <row r="54" spans="1:17" ht="15">
      <c r="A54" s="237">
        <v>85</v>
      </c>
      <c r="B54" s="238">
        <f t="shared" si="4"/>
        <v>-1.63</v>
      </c>
      <c r="C54" s="238">
        <f t="shared" si="5"/>
        <v>14.984999999999999</v>
      </c>
      <c r="D54" s="238">
        <f t="shared" si="6"/>
        <v>13.355</v>
      </c>
    </row>
    <row r="55" spans="1:17" ht="15">
      <c r="A55" s="237">
        <v>86.5</v>
      </c>
      <c r="B55" s="238">
        <f t="shared" si="4"/>
        <v>-1.63</v>
      </c>
      <c r="C55" s="238">
        <f t="shared" si="5"/>
        <v>13.484999999999999</v>
      </c>
      <c r="D55" s="238">
        <f t="shared" si="6"/>
        <v>11.855</v>
      </c>
    </row>
    <row r="56" spans="1:17" ht="15">
      <c r="A56" s="237">
        <v>88</v>
      </c>
      <c r="B56" s="238">
        <f t="shared" si="4"/>
        <v>-1.63</v>
      </c>
      <c r="C56" s="238">
        <f t="shared" si="5"/>
        <v>11.984999999999999</v>
      </c>
      <c r="D56" s="238">
        <f t="shared" si="6"/>
        <v>10.355</v>
      </c>
    </row>
    <row r="57" spans="1:17" ht="15">
      <c r="A57" s="237">
        <v>89.5</v>
      </c>
      <c r="B57" s="238">
        <f t="shared" si="4"/>
        <v>-1.63</v>
      </c>
      <c r="C57" s="238">
        <f t="shared" si="5"/>
        <v>10.484999999999999</v>
      </c>
      <c r="D57" s="238">
        <f t="shared" si="6"/>
        <v>8.8550000000000004</v>
      </c>
    </row>
    <row r="58" spans="1:17" ht="15">
      <c r="A58" s="237">
        <v>91</v>
      </c>
      <c r="B58" s="238">
        <f t="shared" si="4"/>
        <v>-1.63</v>
      </c>
      <c r="C58" s="238">
        <f t="shared" si="5"/>
        <v>8.9849999999999994</v>
      </c>
      <c r="D58" s="238">
        <f t="shared" si="6"/>
        <v>7.3549999999999995</v>
      </c>
    </row>
    <row r="59" spans="1:17" ht="15">
      <c r="A59" s="237">
        <v>92.5</v>
      </c>
      <c r="B59" s="238">
        <f t="shared" si="4"/>
        <v>-1.63</v>
      </c>
      <c r="C59" s="238">
        <f t="shared" si="5"/>
        <v>7.4849999999999994</v>
      </c>
      <c r="D59" s="238">
        <f t="shared" si="6"/>
        <v>5.8549999999999995</v>
      </c>
    </row>
    <row r="60" spans="1:17" ht="15">
      <c r="A60" s="237">
        <v>94</v>
      </c>
      <c r="B60" s="238">
        <f t="shared" si="4"/>
        <v>-1.63</v>
      </c>
      <c r="C60" s="238">
        <f t="shared" si="5"/>
        <v>5.9849999999999994</v>
      </c>
      <c r="D60" s="238">
        <f t="shared" si="6"/>
        <v>4.3549999999999995</v>
      </c>
    </row>
    <row r="61" spans="1:17" ht="15">
      <c r="A61" s="237">
        <v>95.5</v>
      </c>
      <c r="B61" s="238">
        <f t="shared" si="4"/>
        <v>-1.63</v>
      </c>
      <c r="C61" s="238">
        <f t="shared" si="5"/>
        <v>4.4849999999999994</v>
      </c>
      <c r="D61" s="238">
        <f t="shared" si="6"/>
        <v>2.8549999999999995</v>
      </c>
    </row>
    <row r="62" spans="1:17" ht="15">
      <c r="A62" s="237">
        <v>97</v>
      </c>
      <c r="B62" s="238">
        <f t="shared" si="4"/>
        <v>-1.63</v>
      </c>
      <c r="C62" s="238">
        <f t="shared" si="5"/>
        <v>2.9849999999999999</v>
      </c>
      <c r="D62" s="238">
        <f t="shared" si="6"/>
        <v>1.355</v>
      </c>
    </row>
    <row r="63" spans="1:17" ht="15">
      <c r="A63" s="237">
        <v>98.5</v>
      </c>
      <c r="B63" s="238">
        <f t="shared" si="4"/>
        <v>-1.63</v>
      </c>
      <c r="C63" s="238">
        <f t="shared" si="5"/>
        <v>1.4849999999999999</v>
      </c>
      <c r="D63" s="238">
        <f t="shared" si="6"/>
        <v>-0.14500000000000002</v>
      </c>
    </row>
    <row r="64" spans="1:17" ht="20.45">
      <c r="A64" s="237">
        <v>100</v>
      </c>
      <c r="B64" s="238">
        <f t="shared" si="4"/>
        <v>-1.63</v>
      </c>
      <c r="C64" s="238">
        <f t="shared" si="5"/>
        <v>-1.5000000000000124E-2</v>
      </c>
      <c r="D64" s="238">
        <f t="shared" si="6"/>
        <v>-1.645</v>
      </c>
      <c r="K64" s="271"/>
      <c r="L64" s="271"/>
      <c r="M64" s="271"/>
      <c r="N64" s="271"/>
      <c r="O64" s="271"/>
      <c r="P64" s="271"/>
      <c r="Q64" s="271"/>
    </row>
    <row r="65" spans="1:10" ht="15">
      <c r="A65" s="237">
        <v>101.5</v>
      </c>
      <c r="B65" s="238">
        <f t="shared" si="4"/>
        <v>-1.63</v>
      </c>
      <c r="C65" s="238">
        <f t="shared" si="5"/>
        <v>-1.5150000000000001</v>
      </c>
      <c r="D65" s="238">
        <f t="shared" si="6"/>
        <v>-3.145</v>
      </c>
    </row>
    <row r="66" spans="1:10" ht="15">
      <c r="A66" s="237">
        <v>103</v>
      </c>
      <c r="B66" s="238">
        <f t="shared" si="4"/>
        <v>-0.62999999999999989</v>
      </c>
      <c r="C66" s="238">
        <f t="shared" si="5"/>
        <v>-2.0150000000000001</v>
      </c>
      <c r="D66" s="238">
        <f t="shared" si="6"/>
        <v>-2.645</v>
      </c>
    </row>
    <row r="67" spans="1:10" ht="15">
      <c r="A67" s="237">
        <v>104.5</v>
      </c>
      <c r="B67" s="238">
        <f t="shared" si="4"/>
        <v>0.87000000000000011</v>
      </c>
      <c r="C67" s="238">
        <f t="shared" si="5"/>
        <v>-2.0150000000000001</v>
      </c>
      <c r="D67" s="238">
        <f t="shared" si="6"/>
        <v>-1.145</v>
      </c>
    </row>
    <row r="68" spans="1:10" ht="15">
      <c r="A68" s="237">
        <v>106</v>
      </c>
      <c r="B68" s="238">
        <f t="shared" si="4"/>
        <v>2.37</v>
      </c>
      <c r="C68" s="238">
        <f t="shared" si="5"/>
        <v>-2.0150000000000001</v>
      </c>
      <c r="D68" s="238">
        <f t="shared" si="6"/>
        <v>0.35499999999999998</v>
      </c>
    </row>
    <row r="69" spans="1:10" ht="15">
      <c r="A69" s="237">
        <v>107.5</v>
      </c>
      <c r="B69" s="238">
        <f t="shared" si="4"/>
        <v>3.87</v>
      </c>
      <c r="C69" s="238">
        <f t="shared" si="5"/>
        <v>-2.0150000000000001</v>
      </c>
      <c r="D69" s="238">
        <f t="shared" si="6"/>
        <v>1.855</v>
      </c>
    </row>
    <row r="70" spans="1:10" ht="15">
      <c r="A70" s="237">
        <v>109</v>
      </c>
      <c r="B70" s="238">
        <f t="shared" si="4"/>
        <v>5.37</v>
      </c>
      <c r="C70" s="238">
        <f t="shared" si="5"/>
        <v>-2.0150000000000001</v>
      </c>
      <c r="D70" s="238">
        <f t="shared" si="6"/>
        <v>3.355</v>
      </c>
    </row>
    <row r="71" spans="1:10" ht="20.45">
      <c r="A71" s="237">
        <v>110.5</v>
      </c>
      <c r="B71" s="238">
        <f t="shared" si="4"/>
        <v>6.87</v>
      </c>
      <c r="C71" s="238">
        <f t="shared" si="5"/>
        <v>-2.0150000000000001</v>
      </c>
      <c r="D71" s="238">
        <f t="shared" si="6"/>
        <v>4.8550000000000004</v>
      </c>
      <c r="G71" s="271"/>
      <c r="H71" s="271"/>
      <c r="I71" s="271"/>
      <c r="J71" s="271"/>
    </row>
    <row r="72" spans="1:10" ht="15">
      <c r="A72" s="237">
        <v>112</v>
      </c>
      <c r="B72" s="238">
        <f t="shared" si="4"/>
        <v>8.370000000000001</v>
      </c>
      <c r="C72" s="238">
        <f t="shared" si="5"/>
        <v>-2.0150000000000001</v>
      </c>
      <c r="D72" s="238">
        <f t="shared" si="6"/>
        <v>6.3550000000000004</v>
      </c>
    </row>
    <row r="73" spans="1:10" ht="15">
      <c r="A73" s="237">
        <v>113.5</v>
      </c>
      <c r="B73" s="238">
        <f t="shared" si="4"/>
        <v>9.870000000000001</v>
      </c>
      <c r="C73" s="238">
        <f t="shared" si="5"/>
        <v>-2.0150000000000001</v>
      </c>
      <c r="D73" s="238">
        <f t="shared" si="6"/>
        <v>7.8550000000000004</v>
      </c>
    </row>
    <row r="74" spans="1:10" ht="15">
      <c r="A74" s="237">
        <v>115</v>
      </c>
      <c r="B74" s="238">
        <f t="shared" si="4"/>
        <v>11.370000000000001</v>
      </c>
      <c r="C74" s="238">
        <f t="shared" si="5"/>
        <v>-2.0150000000000001</v>
      </c>
      <c r="D74" s="238">
        <f t="shared" si="6"/>
        <v>9.3550000000000004</v>
      </c>
    </row>
    <row r="75" spans="1:10" ht="20.45">
      <c r="A75" s="237">
        <v>116.5</v>
      </c>
      <c r="B75" s="238">
        <f t="shared" si="4"/>
        <v>12.870000000000001</v>
      </c>
      <c r="C75" s="238">
        <f t="shared" si="5"/>
        <v>-2.0150000000000001</v>
      </c>
      <c r="D75" s="238">
        <f t="shared" si="6"/>
        <v>10.855</v>
      </c>
      <c r="F75" s="271"/>
    </row>
    <row r="76" spans="1:10" ht="15">
      <c r="A76" s="237">
        <v>118</v>
      </c>
      <c r="B76" s="238">
        <f t="shared" si="4"/>
        <v>14.370000000000001</v>
      </c>
      <c r="C76" s="238">
        <f t="shared" si="5"/>
        <v>-2.0150000000000001</v>
      </c>
      <c r="D76" s="238">
        <f t="shared" si="6"/>
        <v>12.355</v>
      </c>
    </row>
    <row r="77" spans="1:10" ht="15">
      <c r="A77" s="237">
        <v>119.5</v>
      </c>
      <c r="B77" s="238">
        <f t="shared" si="4"/>
        <v>15.870000000000001</v>
      </c>
      <c r="C77" s="238">
        <f t="shared" si="5"/>
        <v>-2.0150000000000001</v>
      </c>
      <c r="D77" s="238">
        <f t="shared" si="6"/>
        <v>13.855</v>
      </c>
    </row>
    <row r="78" spans="1:10" ht="15">
      <c r="A78" s="237">
        <v>121</v>
      </c>
      <c r="B78" s="238">
        <f t="shared" si="4"/>
        <v>17.37</v>
      </c>
      <c r="C78" s="238">
        <f t="shared" si="5"/>
        <v>-2.0150000000000001</v>
      </c>
      <c r="D78" s="238">
        <f t="shared" si="6"/>
        <v>15.355</v>
      </c>
    </row>
    <row r="79" spans="1:10" ht="15">
      <c r="A79" s="239"/>
      <c r="B79" s="234"/>
      <c r="C79" s="234"/>
      <c r="D79" s="234"/>
    </row>
    <row r="80" spans="1:10" ht="15">
      <c r="A80" s="234"/>
      <c r="B80" s="234"/>
      <c r="C80" s="234"/>
    </row>
    <row r="81" spans="1:17" s="271" customFormat="1" ht="20.45">
      <c r="A81" s="441" t="s">
        <v>287</v>
      </c>
      <c r="B81" s="441"/>
      <c r="C81" s="441"/>
      <c r="D81" s="196"/>
      <c r="F81" s="196"/>
      <c r="G81" s="196"/>
      <c r="H81" s="196"/>
      <c r="I81" s="196"/>
      <c r="J81" s="196"/>
      <c r="K81" s="196"/>
      <c r="L81" s="196"/>
      <c r="M81" s="196"/>
      <c r="N81" s="196"/>
      <c r="O81" s="196"/>
      <c r="P81" s="196"/>
      <c r="Q81" s="196"/>
    </row>
    <row r="82" spans="1:17" ht="15">
      <c r="A82" s="231"/>
      <c r="B82" s="231"/>
      <c r="C82" s="231"/>
      <c r="D82" s="231"/>
    </row>
    <row r="83" spans="1:17" ht="30">
      <c r="A83" s="232" t="s">
        <v>279</v>
      </c>
      <c r="B83" s="233">
        <v>96.31</v>
      </c>
      <c r="C83" s="234"/>
      <c r="D83" s="234"/>
    </row>
    <row r="84" spans="1:17" ht="15">
      <c r="A84" s="233" t="s">
        <v>280</v>
      </c>
      <c r="B84" s="233">
        <v>102</v>
      </c>
      <c r="C84" s="234"/>
      <c r="D84" s="234"/>
    </row>
    <row r="85" spans="1:17" ht="15">
      <c r="A85" s="233" t="s">
        <v>281</v>
      </c>
      <c r="B85" s="233">
        <v>1.63</v>
      </c>
      <c r="C85" s="234"/>
      <c r="D85" s="234"/>
    </row>
    <row r="86" spans="1:17" ht="15">
      <c r="A86" s="233" t="s">
        <v>282</v>
      </c>
      <c r="B86" s="233">
        <v>2.355</v>
      </c>
      <c r="C86" s="234"/>
      <c r="D86" s="234"/>
      <c r="E86" s="231"/>
    </row>
    <row r="87" spans="1:17" ht="15">
      <c r="A87" s="233" t="s">
        <v>277</v>
      </c>
      <c r="B87" s="227">
        <f>B85+B86</f>
        <v>3.9849999999999999</v>
      </c>
      <c r="C87" s="234"/>
      <c r="D87" s="234"/>
      <c r="E87" s="234"/>
    </row>
    <row r="88" spans="1:17" ht="15">
      <c r="A88" s="234"/>
      <c r="B88" s="231"/>
      <c r="C88" s="234"/>
      <c r="D88" s="234"/>
      <c r="E88" s="234"/>
    </row>
    <row r="89" spans="1:17" ht="20.45">
      <c r="A89" s="235" t="s">
        <v>283</v>
      </c>
      <c r="B89" s="235"/>
      <c r="C89" s="235"/>
      <c r="E89" s="234"/>
    </row>
    <row r="90" spans="1:17" ht="15.6">
      <c r="A90" s="236" t="s">
        <v>284</v>
      </c>
      <c r="B90" s="236" t="s">
        <v>288</v>
      </c>
      <c r="C90" s="236" t="s">
        <v>289</v>
      </c>
      <c r="D90" s="236" t="s">
        <v>287</v>
      </c>
      <c r="E90" s="234"/>
    </row>
    <row r="91" spans="1:17" ht="15">
      <c r="A91" s="237">
        <v>82</v>
      </c>
      <c r="B91" s="238">
        <f>-(MAX(A91-$B$84,0)-$B$85)</f>
        <v>1.63</v>
      </c>
      <c r="C91" s="238">
        <f>-(MAX($B$84-A91, 0) - $B$86)</f>
        <v>-17.645</v>
      </c>
      <c r="D91" s="238">
        <f>B91+C91</f>
        <v>-16.015000000000001</v>
      </c>
      <c r="E91" s="234"/>
    </row>
    <row r="92" spans="1:17" ht="15">
      <c r="A92" s="237">
        <v>83.5</v>
      </c>
      <c r="B92" s="238">
        <f t="shared" ref="B92:B117" si="7">-(MAX(A92-$B$84,0)-$B$85)</f>
        <v>1.63</v>
      </c>
      <c r="C92" s="238">
        <f t="shared" ref="C92:C117" si="8">-(MAX($B$84-A92, 0) - $B$86)</f>
        <v>-16.145</v>
      </c>
      <c r="D92" s="238">
        <f t="shared" ref="D92:D117" si="9">B92+C92</f>
        <v>-14.515000000000001</v>
      </c>
      <c r="E92" s="234"/>
    </row>
    <row r="93" spans="1:17" ht="15">
      <c r="A93" s="237">
        <v>85</v>
      </c>
      <c r="B93" s="238">
        <f t="shared" si="7"/>
        <v>1.63</v>
      </c>
      <c r="C93" s="238">
        <f t="shared" si="8"/>
        <v>-14.645</v>
      </c>
      <c r="D93" s="238">
        <f t="shared" si="9"/>
        <v>-13.015000000000001</v>
      </c>
    </row>
    <row r="94" spans="1:17" ht="15">
      <c r="A94" s="237">
        <v>86.5</v>
      </c>
      <c r="B94" s="238">
        <f t="shared" si="7"/>
        <v>1.63</v>
      </c>
      <c r="C94" s="238">
        <f t="shared" si="8"/>
        <v>-13.145</v>
      </c>
      <c r="D94" s="238">
        <f t="shared" si="9"/>
        <v>-11.515000000000001</v>
      </c>
    </row>
    <row r="95" spans="1:17" ht="15">
      <c r="A95" s="237">
        <v>88</v>
      </c>
      <c r="B95" s="238">
        <f t="shared" si="7"/>
        <v>1.63</v>
      </c>
      <c r="C95" s="238">
        <f t="shared" si="8"/>
        <v>-11.645</v>
      </c>
      <c r="D95" s="238">
        <f t="shared" si="9"/>
        <v>-10.015000000000001</v>
      </c>
    </row>
    <row r="96" spans="1:17" ht="15">
      <c r="A96" s="237">
        <v>89.5</v>
      </c>
      <c r="B96" s="238">
        <f t="shared" si="7"/>
        <v>1.63</v>
      </c>
      <c r="C96" s="238">
        <f t="shared" si="8"/>
        <v>-10.145</v>
      </c>
      <c r="D96" s="238">
        <f t="shared" si="9"/>
        <v>-8.5150000000000006</v>
      </c>
    </row>
    <row r="97" spans="1:4" ht="15">
      <c r="A97" s="237">
        <v>91</v>
      </c>
      <c r="B97" s="238">
        <f t="shared" si="7"/>
        <v>1.63</v>
      </c>
      <c r="C97" s="238">
        <f t="shared" si="8"/>
        <v>-8.6449999999999996</v>
      </c>
      <c r="D97" s="238">
        <f t="shared" si="9"/>
        <v>-7.0149999999999997</v>
      </c>
    </row>
    <row r="98" spans="1:4" ht="15">
      <c r="A98" s="237">
        <v>92.5</v>
      </c>
      <c r="B98" s="238">
        <f t="shared" si="7"/>
        <v>1.63</v>
      </c>
      <c r="C98" s="238">
        <f t="shared" si="8"/>
        <v>-7.1449999999999996</v>
      </c>
      <c r="D98" s="238">
        <f t="shared" si="9"/>
        <v>-5.5149999999999997</v>
      </c>
    </row>
    <row r="99" spans="1:4" ht="15">
      <c r="A99" s="237">
        <v>94</v>
      </c>
      <c r="B99" s="238">
        <f t="shared" si="7"/>
        <v>1.63</v>
      </c>
      <c r="C99" s="238">
        <f t="shared" si="8"/>
        <v>-5.6449999999999996</v>
      </c>
      <c r="D99" s="238">
        <f t="shared" si="9"/>
        <v>-4.0149999999999997</v>
      </c>
    </row>
    <row r="100" spans="1:4" ht="15">
      <c r="A100" s="237">
        <v>95.5</v>
      </c>
      <c r="B100" s="238">
        <f t="shared" si="7"/>
        <v>1.63</v>
      </c>
      <c r="C100" s="238">
        <f t="shared" si="8"/>
        <v>-4.1449999999999996</v>
      </c>
      <c r="D100" s="238">
        <f t="shared" si="9"/>
        <v>-2.5149999999999997</v>
      </c>
    </row>
    <row r="101" spans="1:4" ht="15">
      <c r="A101" s="237">
        <v>97</v>
      </c>
      <c r="B101" s="238">
        <f t="shared" si="7"/>
        <v>1.63</v>
      </c>
      <c r="C101" s="238">
        <f t="shared" si="8"/>
        <v>-2.645</v>
      </c>
      <c r="D101" s="238">
        <f t="shared" si="9"/>
        <v>-1.0150000000000001</v>
      </c>
    </row>
    <row r="102" spans="1:4" ht="15">
      <c r="A102" s="237">
        <v>98.5</v>
      </c>
      <c r="B102" s="238">
        <f t="shared" si="7"/>
        <v>1.63</v>
      </c>
      <c r="C102" s="238">
        <f t="shared" si="8"/>
        <v>-1.145</v>
      </c>
      <c r="D102" s="238">
        <f t="shared" si="9"/>
        <v>0.48499999999999988</v>
      </c>
    </row>
    <row r="103" spans="1:4" ht="15">
      <c r="A103" s="237">
        <v>100</v>
      </c>
      <c r="B103" s="238">
        <f t="shared" si="7"/>
        <v>1.63</v>
      </c>
      <c r="C103" s="238">
        <f t="shared" si="8"/>
        <v>0.35499999999999998</v>
      </c>
      <c r="D103" s="238">
        <f t="shared" si="9"/>
        <v>1.9849999999999999</v>
      </c>
    </row>
    <row r="104" spans="1:4" ht="15">
      <c r="A104" s="237">
        <v>101.5</v>
      </c>
      <c r="B104" s="238">
        <f t="shared" si="7"/>
        <v>1.63</v>
      </c>
      <c r="C104" s="238">
        <f t="shared" si="8"/>
        <v>1.855</v>
      </c>
      <c r="D104" s="238">
        <f t="shared" si="9"/>
        <v>3.4849999999999999</v>
      </c>
    </row>
    <row r="105" spans="1:4" ht="15">
      <c r="A105" s="237">
        <v>103</v>
      </c>
      <c r="B105" s="238">
        <f t="shared" si="7"/>
        <v>0.62999999999999989</v>
      </c>
      <c r="C105" s="238">
        <f t="shared" si="8"/>
        <v>2.355</v>
      </c>
      <c r="D105" s="238">
        <f t="shared" si="9"/>
        <v>2.9849999999999999</v>
      </c>
    </row>
    <row r="106" spans="1:4" ht="15">
      <c r="A106" s="237">
        <v>104.5</v>
      </c>
      <c r="B106" s="238">
        <f t="shared" si="7"/>
        <v>-0.87000000000000011</v>
      </c>
      <c r="C106" s="238">
        <f t="shared" si="8"/>
        <v>2.355</v>
      </c>
      <c r="D106" s="238">
        <f t="shared" si="9"/>
        <v>1.4849999999999999</v>
      </c>
    </row>
    <row r="107" spans="1:4" ht="15">
      <c r="A107" s="237">
        <v>106</v>
      </c>
      <c r="B107" s="238">
        <f t="shared" si="7"/>
        <v>-2.37</v>
      </c>
      <c r="C107" s="238">
        <f t="shared" si="8"/>
        <v>2.355</v>
      </c>
      <c r="D107" s="238">
        <f t="shared" si="9"/>
        <v>-1.5000000000000124E-2</v>
      </c>
    </row>
    <row r="108" spans="1:4" ht="15">
      <c r="A108" s="237">
        <v>107.5</v>
      </c>
      <c r="B108" s="238">
        <f t="shared" si="7"/>
        <v>-3.87</v>
      </c>
      <c r="C108" s="238">
        <f t="shared" si="8"/>
        <v>2.355</v>
      </c>
      <c r="D108" s="238">
        <f t="shared" si="9"/>
        <v>-1.5150000000000001</v>
      </c>
    </row>
    <row r="109" spans="1:4" ht="15">
      <c r="A109" s="237">
        <v>109</v>
      </c>
      <c r="B109" s="238">
        <f t="shared" si="7"/>
        <v>-5.37</v>
      </c>
      <c r="C109" s="238">
        <f t="shared" si="8"/>
        <v>2.355</v>
      </c>
      <c r="D109" s="238">
        <f t="shared" si="9"/>
        <v>-3.0150000000000001</v>
      </c>
    </row>
    <row r="110" spans="1:4" ht="15">
      <c r="A110" s="237">
        <v>110.5</v>
      </c>
      <c r="B110" s="238">
        <f t="shared" si="7"/>
        <v>-6.87</v>
      </c>
      <c r="C110" s="238">
        <f t="shared" si="8"/>
        <v>2.355</v>
      </c>
      <c r="D110" s="238">
        <f t="shared" si="9"/>
        <v>-4.5150000000000006</v>
      </c>
    </row>
    <row r="111" spans="1:4" ht="15">
      <c r="A111" s="237">
        <v>112</v>
      </c>
      <c r="B111" s="238">
        <f t="shared" si="7"/>
        <v>-8.370000000000001</v>
      </c>
      <c r="C111" s="238">
        <f t="shared" si="8"/>
        <v>2.355</v>
      </c>
      <c r="D111" s="238">
        <f t="shared" si="9"/>
        <v>-6.0150000000000006</v>
      </c>
    </row>
    <row r="112" spans="1:4" ht="15">
      <c r="A112" s="237">
        <v>113.5</v>
      </c>
      <c r="B112" s="238">
        <f t="shared" si="7"/>
        <v>-9.870000000000001</v>
      </c>
      <c r="C112" s="238">
        <f t="shared" si="8"/>
        <v>2.355</v>
      </c>
      <c r="D112" s="238">
        <f t="shared" si="9"/>
        <v>-7.5150000000000006</v>
      </c>
    </row>
    <row r="113" spans="1:10" ht="15">
      <c r="A113" s="237">
        <v>115</v>
      </c>
      <c r="B113" s="238">
        <f t="shared" si="7"/>
        <v>-11.370000000000001</v>
      </c>
      <c r="C113" s="238">
        <f t="shared" si="8"/>
        <v>2.355</v>
      </c>
      <c r="D113" s="238">
        <f t="shared" si="9"/>
        <v>-9.0150000000000006</v>
      </c>
    </row>
    <row r="114" spans="1:10" ht="15">
      <c r="A114" s="237">
        <v>116.5</v>
      </c>
      <c r="B114" s="238">
        <f t="shared" si="7"/>
        <v>-12.870000000000001</v>
      </c>
      <c r="C114" s="238">
        <f t="shared" si="8"/>
        <v>2.355</v>
      </c>
      <c r="D114" s="238">
        <f t="shared" si="9"/>
        <v>-10.515000000000001</v>
      </c>
    </row>
    <row r="115" spans="1:10" ht="15">
      <c r="A115" s="237">
        <v>118</v>
      </c>
      <c r="B115" s="238">
        <f t="shared" si="7"/>
        <v>-14.370000000000001</v>
      </c>
      <c r="C115" s="238">
        <f t="shared" si="8"/>
        <v>2.355</v>
      </c>
      <c r="D115" s="238">
        <f t="shared" si="9"/>
        <v>-12.015000000000001</v>
      </c>
    </row>
    <row r="116" spans="1:10" ht="15">
      <c r="A116" s="237">
        <v>119.5</v>
      </c>
      <c r="B116" s="238">
        <f t="shared" si="7"/>
        <v>-15.870000000000001</v>
      </c>
      <c r="C116" s="238">
        <f t="shared" si="8"/>
        <v>2.355</v>
      </c>
      <c r="D116" s="238">
        <f t="shared" si="9"/>
        <v>-13.515000000000001</v>
      </c>
    </row>
    <row r="117" spans="1:10" ht="15">
      <c r="A117" s="237">
        <v>121</v>
      </c>
      <c r="B117" s="238">
        <f t="shared" si="7"/>
        <v>-17.37</v>
      </c>
      <c r="C117" s="238">
        <f t="shared" si="8"/>
        <v>2.355</v>
      </c>
      <c r="D117" s="238">
        <f t="shared" si="9"/>
        <v>-15.015000000000001</v>
      </c>
    </row>
    <row r="118" spans="1:10" ht="15">
      <c r="A118" s="239"/>
      <c r="B118" s="234"/>
      <c r="C118" s="234"/>
      <c r="D118" s="234"/>
    </row>
    <row r="120" spans="1:10">
      <c r="G120" s="240"/>
      <c r="H120" s="240"/>
      <c r="I120" s="240"/>
      <c r="J120" s="240"/>
    </row>
    <row r="121" spans="1:10">
      <c r="G121" s="272"/>
      <c r="H121" s="272"/>
      <c r="I121" s="272"/>
      <c r="J121" s="272"/>
    </row>
    <row r="124" spans="1:10" ht="20.45">
      <c r="E124" s="271"/>
      <c r="F124" s="240"/>
    </row>
    <row r="125" spans="1:10">
      <c r="F125" s="272"/>
    </row>
    <row r="126" spans="1:10">
      <c r="A126" s="240"/>
      <c r="B126" s="240"/>
      <c r="C126" s="240"/>
      <c r="D126" s="240"/>
    </row>
    <row r="127" spans="1:10">
      <c r="A127" s="273"/>
      <c r="B127" s="273"/>
      <c r="C127" s="274"/>
      <c r="D127" s="275"/>
    </row>
    <row r="130" spans="5:19">
      <c r="E130" s="240"/>
      <c r="R130" s="240"/>
      <c r="S130" s="240"/>
    </row>
    <row r="131" spans="5:19">
      <c r="E131" s="276"/>
      <c r="R131" s="275"/>
      <c r="S131" s="275"/>
    </row>
  </sheetData>
  <mergeCells count="4">
    <mergeCell ref="A2:O2"/>
    <mergeCell ref="H4:I4"/>
    <mergeCell ref="A42:C42"/>
    <mergeCell ref="A81:C81"/>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D7BE3-2969-4D74-8677-D36742D28001}">
  <dimension ref="A1:N111"/>
  <sheetViews>
    <sheetView showGridLines="0" topLeftCell="A7" zoomScale="70" zoomScaleNormal="70" workbookViewId="0">
      <selection activeCell="B36" sqref="A5:N83"/>
    </sheetView>
  </sheetViews>
  <sheetFormatPr defaultColWidth="8.85546875" defaultRowHeight="13.9"/>
  <cols>
    <col min="1" max="1" width="16.28515625" style="62" bestFit="1" customWidth="1"/>
    <col min="2" max="2" width="16.85546875" style="62" bestFit="1" customWidth="1"/>
    <col min="3" max="3" width="17.7109375" style="62" bestFit="1" customWidth="1"/>
    <col min="4" max="5" width="17" style="62" bestFit="1" customWidth="1"/>
    <col min="6" max="6" width="12" style="62" bestFit="1" customWidth="1"/>
    <col min="7" max="7" width="20.28515625" style="62" bestFit="1" customWidth="1"/>
    <col min="8" max="8" width="9.140625" style="62" bestFit="1" customWidth="1"/>
    <col min="9" max="9" width="18" style="62" bestFit="1" customWidth="1"/>
    <col min="10" max="13" width="17" style="62" bestFit="1" customWidth="1"/>
    <col min="14" max="14" width="9.140625" style="62" bestFit="1" customWidth="1"/>
    <col min="15" max="16384" width="8.85546875" style="62"/>
  </cols>
  <sheetData>
    <row r="1" spans="1:14" ht="36" customHeight="1">
      <c r="A1" s="443" t="s">
        <v>290</v>
      </c>
      <c r="B1" s="443"/>
      <c r="C1" s="443"/>
      <c r="D1" s="443"/>
      <c r="E1" s="443"/>
      <c r="F1" s="443"/>
      <c r="G1" s="443"/>
      <c r="H1" s="443"/>
      <c r="I1" s="443"/>
      <c r="J1" s="443"/>
      <c r="K1" s="443"/>
      <c r="L1" s="443"/>
      <c r="M1" s="443"/>
      <c r="N1" s="443"/>
    </row>
    <row r="2" spans="1:14">
      <c r="A2" s="60"/>
      <c r="B2" s="61" t="s">
        <v>291</v>
      </c>
      <c r="F2" s="63"/>
    </row>
    <row r="3" spans="1:14">
      <c r="A3" s="64"/>
      <c r="B3" s="61" t="s">
        <v>292</v>
      </c>
      <c r="E3" s="65"/>
    </row>
    <row r="4" spans="1:14" ht="12" customHeight="1"/>
    <row r="5" spans="1:14">
      <c r="A5" s="442" t="s">
        <v>293</v>
      </c>
      <c r="B5" s="442"/>
      <c r="C5" s="442"/>
      <c r="D5" s="442"/>
      <c r="E5" s="442"/>
      <c r="F5" s="442"/>
      <c r="G5" s="442"/>
      <c r="H5" s="444" t="s">
        <v>294</v>
      </c>
      <c r="I5" s="444"/>
      <c r="J5" s="444"/>
      <c r="K5" s="444"/>
      <c r="L5" s="444"/>
      <c r="M5" s="444"/>
      <c r="N5" s="444"/>
    </row>
    <row r="6" spans="1:14">
      <c r="A6" s="261" t="s">
        <v>295</v>
      </c>
      <c r="B6" s="261" t="s">
        <v>296</v>
      </c>
      <c r="C6" s="261" t="s">
        <v>6</v>
      </c>
      <c r="D6" s="261" t="s">
        <v>7</v>
      </c>
      <c r="E6" s="261" t="s">
        <v>297</v>
      </c>
      <c r="F6" s="261" t="s">
        <v>298</v>
      </c>
      <c r="G6" s="261" t="s">
        <v>299</v>
      </c>
      <c r="H6" s="261" t="s">
        <v>295</v>
      </c>
      <c r="I6" s="261" t="s">
        <v>296</v>
      </c>
      <c r="J6" s="261" t="s">
        <v>6</v>
      </c>
      <c r="K6" s="261" t="s">
        <v>7</v>
      </c>
      <c r="L6" s="261" t="s">
        <v>297</v>
      </c>
      <c r="M6" s="261" t="s">
        <v>298</v>
      </c>
      <c r="N6" s="261" t="s">
        <v>299</v>
      </c>
    </row>
    <row r="7" spans="1:14">
      <c r="A7" s="452" t="s">
        <v>300</v>
      </c>
      <c r="B7" s="452"/>
      <c r="C7" s="452"/>
      <c r="D7" s="452"/>
      <c r="E7" s="452"/>
      <c r="F7" s="452"/>
      <c r="G7" s="452"/>
      <c r="H7" s="198"/>
      <c r="I7" s="198"/>
      <c r="J7" s="198"/>
      <c r="K7" s="198"/>
      <c r="L7" s="198"/>
      <c r="M7" s="198"/>
      <c r="N7" s="198"/>
    </row>
    <row r="8" spans="1:14">
      <c r="A8" s="262">
        <v>60</v>
      </c>
      <c r="B8" s="262" t="s">
        <v>301</v>
      </c>
      <c r="C8" s="262">
        <v>39.699996948242202</v>
      </c>
      <c r="D8" s="262">
        <v>43.650009155273402</v>
      </c>
      <c r="E8" s="262">
        <v>0</v>
      </c>
      <c r="F8" s="262">
        <v>143.10562133789099</v>
      </c>
      <c r="G8" s="262">
        <v>0</v>
      </c>
      <c r="H8" s="262">
        <v>60</v>
      </c>
      <c r="I8" s="262" t="s">
        <v>302</v>
      </c>
      <c r="J8" s="262">
        <v>0</v>
      </c>
      <c r="K8" s="262">
        <v>0.28000003099441501</v>
      </c>
      <c r="L8" s="262">
        <v>0</v>
      </c>
      <c r="M8" s="262">
        <v>159.99618530273401</v>
      </c>
      <c r="N8" s="262">
        <v>0</v>
      </c>
    </row>
    <row r="9" spans="1:14">
      <c r="A9" s="262">
        <v>65</v>
      </c>
      <c r="B9" s="262" t="s">
        <v>303</v>
      </c>
      <c r="C9" s="262">
        <v>34.699996948242202</v>
      </c>
      <c r="D9" s="262">
        <v>38.599990844726598</v>
      </c>
      <c r="E9" s="262">
        <v>0</v>
      </c>
      <c r="F9" s="262">
        <v>119.016677856445</v>
      </c>
      <c r="G9" s="262">
        <v>0</v>
      </c>
      <c r="H9" s="262">
        <v>65</v>
      </c>
      <c r="I9" s="262" t="s">
        <v>304</v>
      </c>
      <c r="J9" s="262">
        <v>0</v>
      </c>
      <c r="K9" s="262">
        <v>0.28000003099441501</v>
      </c>
      <c r="L9" s="262">
        <v>0</v>
      </c>
      <c r="M9" s="262">
        <v>138.66688537597699</v>
      </c>
      <c r="N9" s="262">
        <v>0</v>
      </c>
    </row>
    <row r="10" spans="1:14">
      <c r="A10" s="262">
        <v>70</v>
      </c>
      <c r="B10" s="262" t="s">
        <v>305</v>
      </c>
      <c r="C10" s="262">
        <v>31.1499938964844</v>
      </c>
      <c r="D10" s="262">
        <v>32.149993896484403</v>
      </c>
      <c r="E10" s="262">
        <v>0</v>
      </c>
      <c r="F10" s="262">
        <v>100.46086883544901</v>
      </c>
      <c r="G10" s="262">
        <v>0</v>
      </c>
      <c r="H10" s="262">
        <v>70</v>
      </c>
      <c r="I10" s="262" t="s">
        <v>306</v>
      </c>
      <c r="J10" s="262">
        <v>0</v>
      </c>
      <c r="K10" s="262">
        <v>0.29000002145767201</v>
      </c>
      <c r="L10" s="262">
        <v>0</v>
      </c>
      <c r="M10" s="262">
        <v>119.49909210205099</v>
      </c>
      <c r="N10" s="262">
        <v>0</v>
      </c>
    </row>
    <row r="11" spans="1:14">
      <c r="A11" s="262">
        <v>75</v>
      </c>
      <c r="B11" s="262" t="s">
        <v>307</v>
      </c>
      <c r="C11" s="262">
        <v>25.6000061035156</v>
      </c>
      <c r="D11" s="262">
        <v>26.949996948242202</v>
      </c>
      <c r="E11" s="262">
        <v>0</v>
      </c>
      <c r="F11" s="262">
        <v>0</v>
      </c>
      <c r="G11" s="262">
        <v>0</v>
      </c>
      <c r="H11" s="262">
        <v>75</v>
      </c>
      <c r="I11" s="262" t="s">
        <v>308</v>
      </c>
      <c r="J11" s="262">
        <v>0</v>
      </c>
      <c r="K11" s="262">
        <v>0.28999996185302701</v>
      </c>
      <c r="L11" s="262">
        <v>0</v>
      </c>
      <c r="M11" s="262">
        <v>100.56729125976599</v>
      </c>
      <c r="N11" s="262">
        <v>0</v>
      </c>
    </row>
    <row r="12" spans="1:14">
      <c r="A12" s="262">
        <v>80</v>
      </c>
      <c r="B12" s="262" t="s">
        <v>309</v>
      </c>
      <c r="C12" s="262">
        <v>21.349990844726602</v>
      </c>
      <c r="D12" s="262">
        <v>22</v>
      </c>
      <c r="E12" s="262">
        <v>0</v>
      </c>
      <c r="F12" s="262">
        <v>69.532821655273395</v>
      </c>
      <c r="G12" s="262">
        <v>0</v>
      </c>
      <c r="H12" s="262">
        <v>80</v>
      </c>
      <c r="I12" s="262" t="s">
        <v>310</v>
      </c>
      <c r="J12" s="262">
        <v>0</v>
      </c>
      <c r="K12" s="262">
        <v>0.129999995231628</v>
      </c>
      <c r="L12" s="262">
        <v>0</v>
      </c>
      <c r="M12" s="262">
        <v>71.011054992675795</v>
      </c>
      <c r="N12" s="262">
        <v>0</v>
      </c>
    </row>
    <row r="13" spans="1:14">
      <c r="A13" s="262">
        <v>85</v>
      </c>
      <c r="B13" s="262" t="s">
        <v>311</v>
      </c>
      <c r="C13" s="262">
        <v>16.300003051757798</v>
      </c>
      <c r="D13" s="262">
        <v>16.8999938964844</v>
      </c>
      <c r="E13" s="262">
        <v>0</v>
      </c>
      <c r="F13" s="262">
        <v>44.811878204345703</v>
      </c>
      <c r="G13" s="262">
        <v>0</v>
      </c>
      <c r="H13" s="262">
        <v>85</v>
      </c>
      <c r="I13" s="262" t="s">
        <v>312</v>
      </c>
      <c r="J13" s="262">
        <v>0</v>
      </c>
      <c r="K13" s="262">
        <v>0.10000002384185799</v>
      </c>
      <c r="L13" s="262">
        <v>0</v>
      </c>
      <c r="M13" s="262">
        <v>52.984107971191399</v>
      </c>
      <c r="N13" s="262">
        <v>0</v>
      </c>
    </row>
    <row r="14" spans="1:14">
      <c r="A14" s="262">
        <v>89</v>
      </c>
      <c r="B14" s="262" t="s">
        <v>313</v>
      </c>
      <c r="C14" s="262">
        <v>11.6499996185303</v>
      </c>
      <c r="D14" s="262">
        <v>12.75</v>
      </c>
      <c r="E14" s="262">
        <v>0</v>
      </c>
      <c r="F14" s="262">
        <v>0</v>
      </c>
      <c r="G14" s="262">
        <v>0</v>
      </c>
      <c r="H14" s="262">
        <v>89</v>
      </c>
      <c r="I14" s="262" t="s">
        <v>314</v>
      </c>
      <c r="J14" s="262">
        <v>3.0000001192092899E-2</v>
      </c>
      <c r="K14" s="262">
        <v>0.10000002384185799</v>
      </c>
      <c r="L14" s="262">
        <v>0</v>
      </c>
      <c r="M14" s="262">
        <v>38.303737640380902</v>
      </c>
      <c r="N14" s="262">
        <v>0</v>
      </c>
    </row>
    <row r="15" spans="1:14">
      <c r="A15" s="198">
        <v>90</v>
      </c>
      <c r="B15" s="198" t="s">
        <v>315</v>
      </c>
      <c r="C15" s="198">
        <v>11.5</v>
      </c>
      <c r="D15" s="198">
        <v>11.800000190734901</v>
      </c>
      <c r="E15" s="198">
        <v>0</v>
      </c>
      <c r="F15" s="198">
        <v>36.5554389953613</v>
      </c>
      <c r="G15" s="198">
        <v>0</v>
      </c>
      <c r="H15" s="198">
        <v>90</v>
      </c>
      <c r="I15" s="198" t="s">
        <v>316</v>
      </c>
      <c r="J15" s="198">
        <v>9.9999997764825804E-3</v>
      </c>
      <c r="K15" s="198">
        <v>9.0000033378601102E-2</v>
      </c>
      <c r="L15" s="198">
        <v>7.9999983310699505E-2</v>
      </c>
      <c r="M15" s="198">
        <v>34.066074371337898</v>
      </c>
      <c r="N15" s="198">
        <v>5</v>
      </c>
    </row>
    <row r="16" spans="1:14">
      <c r="A16" s="198">
        <v>91</v>
      </c>
      <c r="B16" s="198" t="s">
        <v>317</v>
      </c>
      <c r="C16" s="198">
        <v>10.550000190734901</v>
      </c>
      <c r="D16" s="198">
        <v>10.8999996185303</v>
      </c>
      <c r="E16" s="198">
        <v>0</v>
      </c>
      <c r="F16" s="198">
        <v>38.418758392333999</v>
      </c>
      <c r="G16" s="198">
        <v>0</v>
      </c>
      <c r="H16" s="198">
        <v>91</v>
      </c>
      <c r="I16" s="198" t="s">
        <v>318</v>
      </c>
      <c r="J16" s="198">
        <v>7.9999983310699505E-2</v>
      </c>
      <c r="K16" s="198">
        <v>0.110000014305115</v>
      </c>
      <c r="L16" s="198">
        <v>0.10000002384185799</v>
      </c>
      <c r="M16" s="198">
        <v>35.103302001953097</v>
      </c>
      <c r="N16" s="198">
        <v>3</v>
      </c>
    </row>
    <row r="17" spans="1:14">
      <c r="A17" s="262">
        <v>92</v>
      </c>
      <c r="B17" s="262" t="s">
        <v>319</v>
      </c>
      <c r="C17" s="262">
        <v>9.6000003814697301</v>
      </c>
      <c r="D17" s="262">
        <v>9.8999996185302699</v>
      </c>
      <c r="E17" s="262">
        <v>0</v>
      </c>
      <c r="F17" s="262">
        <v>36.480567932128899</v>
      </c>
      <c r="G17" s="262">
        <v>0</v>
      </c>
      <c r="H17" s="262">
        <v>92</v>
      </c>
      <c r="I17" s="262" t="s">
        <v>320</v>
      </c>
      <c r="J17" s="262">
        <v>0.10000002384185799</v>
      </c>
      <c r="K17" s="262">
        <v>0.16000002622604401</v>
      </c>
      <c r="L17" s="262">
        <v>0</v>
      </c>
      <c r="M17" s="262">
        <v>34.281688690185497</v>
      </c>
      <c r="N17" s="262">
        <v>0</v>
      </c>
    </row>
    <row r="18" spans="1:14">
      <c r="A18" s="198">
        <v>93</v>
      </c>
      <c r="B18" s="198" t="s">
        <v>321</v>
      </c>
      <c r="C18" s="198">
        <v>8.3999996185302699</v>
      </c>
      <c r="D18" s="198">
        <v>8.8500003814697301</v>
      </c>
      <c r="E18" s="198">
        <v>0</v>
      </c>
      <c r="F18" s="198">
        <v>25.8702602386475</v>
      </c>
      <c r="G18" s="198">
        <v>0</v>
      </c>
      <c r="H18" s="198">
        <v>93</v>
      </c>
      <c r="I18" s="198" t="s">
        <v>322</v>
      </c>
      <c r="J18" s="198">
        <v>1.00000016391277E-2</v>
      </c>
      <c r="K18" s="198">
        <v>0.16000002622604401</v>
      </c>
      <c r="L18" s="198">
        <v>0.150000035762787</v>
      </c>
      <c r="M18" s="198">
        <v>28.693620681762699</v>
      </c>
      <c r="N18" s="198">
        <v>1</v>
      </c>
    </row>
    <row r="19" spans="1:14">
      <c r="A19" s="198">
        <v>94</v>
      </c>
      <c r="B19" s="198" t="s">
        <v>323</v>
      </c>
      <c r="C19" s="198">
        <v>7.6500005722045898</v>
      </c>
      <c r="D19" s="198">
        <v>7.9499998092651403</v>
      </c>
      <c r="E19" s="198">
        <v>0</v>
      </c>
      <c r="F19" s="198">
        <v>31.9640293121338</v>
      </c>
      <c r="G19" s="198">
        <v>0</v>
      </c>
      <c r="H19" s="198">
        <v>94</v>
      </c>
      <c r="I19" s="198" t="s">
        <v>324</v>
      </c>
      <c r="J19" s="198">
        <v>1.9999999552965199E-2</v>
      </c>
      <c r="K19" s="198">
        <v>0.19999998807907099</v>
      </c>
      <c r="L19" s="198">
        <v>0.18999999761581399</v>
      </c>
      <c r="M19" s="198">
        <v>27.217853546142599</v>
      </c>
      <c r="N19" s="198">
        <v>32</v>
      </c>
    </row>
    <row r="20" spans="1:14">
      <c r="A20" s="198">
        <v>95</v>
      </c>
      <c r="B20" s="198" t="s">
        <v>17</v>
      </c>
      <c r="C20" s="198">
        <v>6.6500005722045898</v>
      </c>
      <c r="D20" s="198">
        <v>6.9499998092651403</v>
      </c>
      <c r="E20" s="198">
        <v>6.9499998092651403</v>
      </c>
      <c r="F20" s="198">
        <v>28.584434509277301</v>
      </c>
      <c r="G20" s="198">
        <v>12</v>
      </c>
      <c r="H20" s="198">
        <v>95</v>
      </c>
      <c r="I20" s="198" t="s">
        <v>57</v>
      </c>
      <c r="J20" s="198">
        <v>7.9999983310699505E-2</v>
      </c>
      <c r="K20" s="198">
        <v>0.259999990463257</v>
      </c>
      <c r="L20" s="198">
        <v>0.240000009536743</v>
      </c>
      <c r="M20" s="198">
        <v>26.78151512146</v>
      </c>
      <c r="N20" s="198">
        <v>24</v>
      </c>
    </row>
    <row r="21" spans="1:14">
      <c r="A21" s="198">
        <v>96</v>
      </c>
      <c r="B21" s="198" t="s">
        <v>325</v>
      </c>
      <c r="C21" s="198">
        <v>5.8500003814697301</v>
      </c>
      <c r="D21" s="198">
        <v>6</v>
      </c>
      <c r="E21" s="198">
        <v>0</v>
      </c>
      <c r="F21" s="198">
        <v>28.740924835205099</v>
      </c>
      <c r="G21" s="198">
        <v>0</v>
      </c>
      <c r="H21" s="198">
        <v>96</v>
      </c>
      <c r="I21" s="198" t="s">
        <v>326</v>
      </c>
      <c r="J21" s="198">
        <v>0.259999990463257</v>
      </c>
      <c r="K21" s="198">
        <v>0.35000002384185802</v>
      </c>
      <c r="L21" s="198">
        <v>0.31999999284744302</v>
      </c>
      <c r="M21" s="198">
        <v>27.701026916503899</v>
      </c>
      <c r="N21" s="198">
        <v>561</v>
      </c>
    </row>
    <row r="22" spans="1:14">
      <c r="A22" s="262">
        <v>97</v>
      </c>
      <c r="B22" s="262" t="s">
        <v>327</v>
      </c>
      <c r="C22" s="262">
        <v>5</v>
      </c>
      <c r="D22" s="262">
        <v>5.1500005722045898</v>
      </c>
      <c r="E22" s="262">
        <v>4.8500003814697301</v>
      </c>
      <c r="F22" s="262">
        <v>28.405637741088899</v>
      </c>
      <c r="G22" s="262">
        <v>1</v>
      </c>
      <c r="H22" s="262">
        <v>97</v>
      </c>
      <c r="I22" s="262" t="s">
        <v>328</v>
      </c>
      <c r="J22" s="262">
        <v>0.270000040531158</v>
      </c>
      <c r="K22" s="262">
        <v>0.480000019073486</v>
      </c>
      <c r="L22" s="262">
        <v>0</v>
      </c>
      <c r="M22" s="262">
        <v>25.765150070190401</v>
      </c>
      <c r="N22" s="262">
        <v>0</v>
      </c>
    </row>
    <row r="23" spans="1:14">
      <c r="A23" s="198">
        <v>98</v>
      </c>
      <c r="B23" s="198" t="s">
        <v>18</v>
      </c>
      <c r="C23" s="198">
        <v>4.1500005722045898</v>
      </c>
      <c r="D23" s="198">
        <v>4.3000001907348597</v>
      </c>
      <c r="E23" s="198">
        <v>4.1999998092651403</v>
      </c>
      <c r="F23" s="198">
        <v>27.168388366699201</v>
      </c>
      <c r="G23" s="198">
        <v>2</v>
      </c>
      <c r="H23" s="198">
        <v>98</v>
      </c>
      <c r="I23" s="198" t="s">
        <v>58</v>
      </c>
      <c r="J23" s="198">
        <v>0.56000000238418601</v>
      </c>
      <c r="K23" s="198">
        <v>0.66000002622604403</v>
      </c>
      <c r="L23" s="198">
        <v>0.60000002384185802</v>
      </c>
      <c r="M23" s="198">
        <v>26.5734252929688</v>
      </c>
      <c r="N23" s="198">
        <v>124</v>
      </c>
    </row>
    <row r="24" spans="1:14">
      <c r="A24" s="198">
        <v>99</v>
      </c>
      <c r="B24" s="198" t="s">
        <v>19</v>
      </c>
      <c r="C24" s="198">
        <v>3.4000005722045898</v>
      </c>
      <c r="D24" s="198">
        <v>3.5500001907348602</v>
      </c>
      <c r="E24" s="198">
        <v>3.67000007629394</v>
      </c>
      <c r="F24" s="198">
        <v>26.8258666992188</v>
      </c>
      <c r="G24" s="198">
        <v>10</v>
      </c>
      <c r="H24" s="198">
        <v>99</v>
      </c>
      <c r="I24" s="198" t="s">
        <v>59</v>
      </c>
      <c r="J24" s="198">
        <v>0.87000000476837203</v>
      </c>
      <c r="K24" s="198">
        <v>0.88999998569488503</v>
      </c>
      <c r="L24" s="198">
        <v>0.87999999523162797</v>
      </c>
      <c r="M24" s="198">
        <v>26.641626358032202</v>
      </c>
      <c r="N24" s="198">
        <v>56</v>
      </c>
    </row>
    <row r="25" spans="1:14">
      <c r="A25" s="198">
        <v>100</v>
      </c>
      <c r="B25" s="198" t="s">
        <v>20</v>
      </c>
      <c r="C25" s="198">
        <v>2.7300004959106401</v>
      </c>
      <c r="D25" s="198">
        <v>2.8400001525878902</v>
      </c>
      <c r="E25" s="198">
        <v>2.8000001907348602</v>
      </c>
      <c r="F25" s="198">
        <v>26.3561191558838</v>
      </c>
      <c r="G25" s="198">
        <v>55</v>
      </c>
      <c r="H25" s="198">
        <v>100</v>
      </c>
      <c r="I25" s="198" t="s">
        <v>60</v>
      </c>
      <c r="J25" s="198">
        <v>1.0600004196167001</v>
      </c>
      <c r="K25" s="198">
        <v>1.19999980926514</v>
      </c>
      <c r="L25" s="198">
        <v>1.17000007629395</v>
      </c>
      <c r="M25" s="198">
        <v>25.2994594573975</v>
      </c>
      <c r="N25" s="198">
        <v>84</v>
      </c>
    </row>
    <row r="26" spans="1:14">
      <c r="A26" s="198">
        <v>101</v>
      </c>
      <c r="B26" s="198" t="s">
        <v>21</v>
      </c>
      <c r="C26" s="198">
        <v>2.1099996566772501</v>
      </c>
      <c r="D26" s="198">
        <v>2.21000003814697</v>
      </c>
      <c r="E26" s="198">
        <v>2.32999992370606</v>
      </c>
      <c r="F26" s="198">
        <v>25.734918594360401</v>
      </c>
      <c r="G26" s="198">
        <v>28</v>
      </c>
      <c r="H26" s="198">
        <v>101</v>
      </c>
      <c r="I26" s="198" t="s">
        <v>61</v>
      </c>
      <c r="J26" s="198">
        <v>1.50999927520752</v>
      </c>
      <c r="K26" s="198">
        <v>1.59000015258789</v>
      </c>
      <c r="L26" s="198">
        <v>1.4800004959106401</v>
      </c>
      <c r="M26" s="198">
        <v>25.354883193969702</v>
      </c>
      <c r="N26" s="198">
        <v>100</v>
      </c>
    </row>
    <row r="27" spans="1:14">
      <c r="A27" s="198">
        <v>102</v>
      </c>
      <c r="B27" s="198" t="s">
        <v>22</v>
      </c>
      <c r="C27" s="198">
        <v>1.5999994277954099</v>
      </c>
      <c r="D27" s="198">
        <v>1.65999984741211</v>
      </c>
      <c r="E27" s="198">
        <v>1.6900005340576201</v>
      </c>
      <c r="F27" s="198">
        <v>25.288133621215799</v>
      </c>
      <c r="G27" s="198">
        <v>41</v>
      </c>
      <c r="H27" s="198">
        <v>102</v>
      </c>
      <c r="I27" s="198" t="s">
        <v>62</v>
      </c>
      <c r="J27" s="198">
        <v>1.96999931335449</v>
      </c>
      <c r="K27" s="198">
        <v>2.0600004196167001</v>
      </c>
      <c r="L27" s="198">
        <v>2.0200004577636701</v>
      </c>
      <c r="M27" s="198">
        <v>24.818048477172901</v>
      </c>
      <c r="N27" s="198">
        <v>65</v>
      </c>
    </row>
    <row r="28" spans="1:14">
      <c r="A28" s="198">
        <v>103</v>
      </c>
      <c r="B28" s="198" t="s">
        <v>23</v>
      </c>
      <c r="C28" s="198">
        <v>1.17000007629395</v>
      </c>
      <c r="D28" s="198">
        <v>1.2200002670288099</v>
      </c>
      <c r="E28" s="198">
        <v>1.2799997329711901</v>
      </c>
      <c r="F28" s="198">
        <v>24.9610691070557</v>
      </c>
      <c r="G28" s="198">
        <v>89</v>
      </c>
      <c r="H28" s="198">
        <v>103</v>
      </c>
      <c r="I28" s="198" t="s">
        <v>63</v>
      </c>
      <c r="J28" s="198">
        <v>2.5500001907348602</v>
      </c>
      <c r="K28" s="198">
        <v>2.6199998855590798</v>
      </c>
      <c r="L28" s="198">
        <v>2.5900001525878902</v>
      </c>
      <c r="M28" s="198">
        <v>24.5023918151856</v>
      </c>
      <c r="N28" s="198">
        <v>28</v>
      </c>
    </row>
    <row r="29" spans="1:14">
      <c r="A29" s="198">
        <v>104</v>
      </c>
      <c r="B29" s="198" t="s">
        <v>24</v>
      </c>
      <c r="C29" s="198">
        <v>0.81999999284744296</v>
      </c>
      <c r="D29" s="198">
        <v>0.87000000476837203</v>
      </c>
      <c r="E29" s="198">
        <v>0.87000000476837203</v>
      </c>
      <c r="F29" s="198">
        <v>24.6371250152588</v>
      </c>
      <c r="G29" s="198">
        <v>56</v>
      </c>
      <c r="H29" s="198">
        <v>104</v>
      </c>
      <c r="I29" s="198" t="s">
        <v>64</v>
      </c>
      <c r="J29" s="198">
        <v>3.1999998092651398</v>
      </c>
      <c r="K29" s="198">
        <v>3.3500003814697301</v>
      </c>
      <c r="L29" s="198">
        <v>3.3000001907348602</v>
      </c>
      <c r="M29" s="198">
        <v>24.7009792327881</v>
      </c>
      <c r="N29" s="198">
        <v>29</v>
      </c>
    </row>
    <row r="30" spans="1:14">
      <c r="A30" s="198">
        <v>105</v>
      </c>
      <c r="B30" s="198" t="s">
        <v>25</v>
      </c>
      <c r="C30" s="198">
        <v>0.56999999284744296</v>
      </c>
      <c r="D30" s="198">
        <v>0.61000001430511497</v>
      </c>
      <c r="E30" s="198">
        <v>0.56999999284744296</v>
      </c>
      <c r="F30" s="198">
        <v>24.601615905761701</v>
      </c>
      <c r="G30" s="198">
        <v>660</v>
      </c>
      <c r="H30" s="198">
        <v>105</v>
      </c>
      <c r="I30" s="198" t="s">
        <v>65</v>
      </c>
      <c r="J30" s="198">
        <v>3.9499998092651398</v>
      </c>
      <c r="K30" s="198">
        <v>4.0500001907348597</v>
      </c>
      <c r="L30" s="198">
        <v>4.0500001907348597</v>
      </c>
      <c r="M30" s="198">
        <v>24.1961879730225</v>
      </c>
      <c r="N30" s="198">
        <v>69</v>
      </c>
    </row>
    <row r="31" spans="1:14">
      <c r="A31" s="198">
        <v>106</v>
      </c>
      <c r="B31" s="198" t="s">
        <v>26</v>
      </c>
      <c r="C31" s="198">
        <v>0.38999998569488498</v>
      </c>
      <c r="D31" s="198">
        <v>0.42000001668929998</v>
      </c>
      <c r="E31" s="198">
        <v>0.40000003576278698</v>
      </c>
      <c r="F31" s="198">
        <v>24.682907104492202</v>
      </c>
      <c r="G31" s="198">
        <v>107</v>
      </c>
      <c r="H31" s="198">
        <v>106</v>
      </c>
      <c r="I31" s="198" t="s">
        <v>66</v>
      </c>
      <c r="J31" s="198">
        <v>4.8000001907348597</v>
      </c>
      <c r="K31" s="198">
        <v>4.9000005722045898</v>
      </c>
      <c r="L31" s="198">
        <v>4.8500003814697301</v>
      </c>
      <c r="M31" s="198">
        <v>24.819932937622099</v>
      </c>
      <c r="N31" s="198">
        <v>11</v>
      </c>
    </row>
    <row r="32" spans="1:14">
      <c r="A32" s="198">
        <v>107</v>
      </c>
      <c r="B32" s="198" t="s">
        <v>27</v>
      </c>
      <c r="C32" s="198">
        <v>0.240000009536743</v>
      </c>
      <c r="D32" s="198">
        <v>0.29000002145767201</v>
      </c>
      <c r="E32" s="198">
        <v>0.30000001192092901</v>
      </c>
      <c r="F32" s="198">
        <v>24.602554321289102</v>
      </c>
      <c r="G32" s="198">
        <v>36</v>
      </c>
      <c r="H32" s="198">
        <v>107</v>
      </c>
      <c r="I32" s="198" t="s">
        <v>67</v>
      </c>
      <c r="J32" s="198">
        <v>5.6500005722045898</v>
      </c>
      <c r="K32" s="198">
        <v>5.8000001907348597</v>
      </c>
      <c r="L32" s="198">
        <v>5.6999998092651403</v>
      </c>
      <c r="M32" s="198">
        <v>24.942792892456101</v>
      </c>
      <c r="N32" s="198">
        <v>6</v>
      </c>
    </row>
    <row r="33" spans="1:14">
      <c r="A33" s="262">
        <v>108</v>
      </c>
      <c r="B33" s="262" t="s">
        <v>329</v>
      </c>
      <c r="C33" s="262">
        <v>0.17000001668930101</v>
      </c>
      <c r="D33" s="262">
        <v>0.20999997854232799</v>
      </c>
      <c r="E33" s="262">
        <v>0.18000000715255701</v>
      </c>
      <c r="F33" s="262">
        <v>25.300209045410199</v>
      </c>
      <c r="G33" s="262">
        <v>48</v>
      </c>
      <c r="H33" s="262">
        <v>108</v>
      </c>
      <c r="I33" s="262" t="s">
        <v>330</v>
      </c>
      <c r="J33" s="262">
        <v>5.0500001907348597</v>
      </c>
      <c r="K33" s="262">
        <v>6.9000005722045898</v>
      </c>
      <c r="L33" s="262">
        <v>0</v>
      </c>
      <c r="M33" s="262">
        <v>0</v>
      </c>
      <c r="N33" s="262">
        <v>0</v>
      </c>
    </row>
    <row r="34" spans="1:14">
      <c r="A34" s="262">
        <v>109</v>
      </c>
      <c r="B34" s="262" t="s">
        <v>331</v>
      </c>
      <c r="C34" s="262">
        <v>0.110000014305115</v>
      </c>
      <c r="D34" s="262">
        <v>0.150000035762787</v>
      </c>
      <c r="E34" s="262">
        <v>0.129999995231628</v>
      </c>
      <c r="F34" s="262">
        <v>25.719133377075199</v>
      </c>
      <c r="G34" s="262">
        <v>6</v>
      </c>
      <c r="H34" s="262">
        <v>109</v>
      </c>
      <c r="I34" s="262" t="s">
        <v>332</v>
      </c>
      <c r="J34" s="262">
        <v>7.4499998092651403</v>
      </c>
      <c r="K34" s="262">
        <v>7.8000001907348597</v>
      </c>
      <c r="L34" s="262">
        <v>0</v>
      </c>
      <c r="M34" s="262">
        <v>27.1067409515381</v>
      </c>
      <c r="N34" s="262">
        <v>0</v>
      </c>
    </row>
    <row r="35" spans="1:14">
      <c r="A35" s="198">
        <v>110</v>
      </c>
      <c r="B35" s="198" t="s">
        <v>28</v>
      </c>
      <c r="C35" s="198">
        <v>9.0000033378601102E-2</v>
      </c>
      <c r="D35" s="198">
        <v>0.120000004768372</v>
      </c>
      <c r="E35" s="198">
        <v>9.0000033378601102E-2</v>
      </c>
      <c r="F35" s="198">
        <v>27.0456142425537</v>
      </c>
      <c r="G35" s="198">
        <v>114</v>
      </c>
      <c r="H35" s="198">
        <v>110</v>
      </c>
      <c r="I35" s="198" t="s">
        <v>68</v>
      </c>
      <c r="J35" s="198">
        <v>8.5</v>
      </c>
      <c r="K35" s="198">
        <v>8.6999998092651403</v>
      </c>
      <c r="L35" s="198">
        <v>8.4799995422363299</v>
      </c>
      <c r="M35" s="198">
        <v>28.406557083129901</v>
      </c>
      <c r="N35" s="198">
        <v>143</v>
      </c>
    </row>
    <row r="36" spans="1:14">
      <c r="A36" s="262">
        <v>111</v>
      </c>
      <c r="B36" s="262" t="s">
        <v>333</v>
      </c>
      <c r="C36" s="262">
        <v>5.9999998658895499E-2</v>
      </c>
      <c r="D36" s="262">
        <v>9.0000033378601102E-2</v>
      </c>
      <c r="E36" s="262">
        <v>3.9999999105930301E-2</v>
      </c>
      <c r="F36" s="262">
        <v>27.6464538574219</v>
      </c>
      <c r="G36" s="262">
        <v>1</v>
      </c>
      <c r="H36" s="262">
        <v>111</v>
      </c>
      <c r="I36" s="262" t="s">
        <v>334</v>
      </c>
      <c r="J36" s="262">
        <v>8.8000001907348597</v>
      </c>
      <c r="K36" s="262">
        <v>9.75</v>
      </c>
      <c r="L36" s="262">
        <v>0</v>
      </c>
      <c r="M36" s="262">
        <v>0</v>
      </c>
      <c r="N36" s="262">
        <v>0</v>
      </c>
    </row>
    <row r="37" spans="1:14">
      <c r="A37" s="262">
        <v>112</v>
      </c>
      <c r="B37" s="262" t="s">
        <v>335</v>
      </c>
      <c r="C37" s="262">
        <v>0</v>
      </c>
      <c r="D37" s="262">
        <v>0.259999990463257</v>
      </c>
      <c r="E37" s="262">
        <v>5.0000000745058101E-2</v>
      </c>
      <c r="F37" s="262">
        <v>38.665721893310497</v>
      </c>
      <c r="G37" s="262">
        <v>13</v>
      </c>
      <c r="H37" s="262">
        <v>112</v>
      </c>
      <c r="I37" s="262" t="s">
        <v>336</v>
      </c>
      <c r="J37" s="262">
        <v>10.3500003814697</v>
      </c>
      <c r="K37" s="262">
        <v>10.699999809265099</v>
      </c>
      <c r="L37" s="262">
        <v>0</v>
      </c>
      <c r="M37" s="262">
        <v>0</v>
      </c>
      <c r="N37" s="262">
        <v>0</v>
      </c>
    </row>
    <row r="38" spans="1:14">
      <c r="A38" s="262">
        <v>113</v>
      </c>
      <c r="B38" s="262" t="s">
        <v>337</v>
      </c>
      <c r="C38" s="262">
        <v>0</v>
      </c>
      <c r="D38" s="262">
        <v>0.40000003576278698</v>
      </c>
      <c r="E38" s="262">
        <v>0</v>
      </c>
      <c r="F38" s="262">
        <v>45.9796752929688</v>
      </c>
      <c r="G38" s="262">
        <v>0</v>
      </c>
      <c r="H38" s="262">
        <v>113</v>
      </c>
      <c r="I38" s="262" t="s">
        <v>338</v>
      </c>
      <c r="J38" s="262">
        <v>11.3999996185303</v>
      </c>
      <c r="K38" s="262">
        <v>12.050000190734901</v>
      </c>
      <c r="L38" s="262">
        <v>0</v>
      </c>
      <c r="M38" s="262">
        <v>41.839752197265597</v>
      </c>
      <c r="N38" s="262">
        <v>0</v>
      </c>
    </row>
    <row r="39" spans="1:14">
      <c r="A39" s="198">
        <v>114</v>
      </c>
      <c r="B39" s="198" t="s">
        <v>29</v>
      </c>
      <c r="C39" s="198">
        <v>1.9999999552965199E-2</v>
      </c>
      <c r="D39" s="198">
        <v>0.120000004768372</v>
      </c>
      <c r="E39" s="198">
        <v>5.9999998658895499E-2</v>
      </c>
      <c r="F39" s="198">
        <v>33.869380950927699</v>
      </c>
      <c r="G39" s="198">
        <v>30</v>
      </c>
      <c r="H39" s="198">
        <v>114</v>
      </c>
      <c r="I39" s="198" t="s">
        <v>69</v>
      </c>
      <c r="J39" s="198">
        <v>12.3999996185303</v>
      </c>
      <c r="K39" s="198">
        <v>12.699999809265099</v>
      </c>
      <c r="L39" s="198">
        <v>12.829999923706</v>
      </c>
      <c r="M39" s="198">
        <v>32.745090484619098</v>
      </c>
      <c r="N39" s="198">
        <v>30</v>
      </c>
    </row>
    <row r="40" spans="1:14">
      <c r="A40" s="262">
        <v>115</v>
      </c>
      <c r="B40" s="262" t="s">
        <v>339</v>
      </c>
      <c r="C40" s="262">
        <v>1.9999999552965199E-2</v>
      </c>
      <c r="D40" s="262">
        <v>3.0000001192092899E-2</v>
      </c>
      <c r="E40" s="262">
        <v>1.9999999552965199E-2</v>
      </c>
      <c r="F40" s="262">
        <v>30.887229919433601</v>
      </c>
      <c r="G40" s="262">
        <v>254</v>
      </c>
      <c r="H40" s="262">
        <v>115</v>
      </c>
      <c r="I40" s="262" t="s">
        <v>340</v>
      </c>
      <c r="J40" s="262">
        <v>12.949999809265099</v>
      </c>
      <c r="K40" s="262">
        <v>13.699999809265099</v>
      </c>
      <c r="L40" s="262">
        <v>0</v>
      </c>
      <c r="M40" s="262">
        <v>0</v>
      </c>
      <c r="N40" s="262">
        <v>0</v>
      </c>
    </row>
    <row r="41" spans="1:14">
      <c r="A41" s="262">
        <v>116</v>
      </c>
      <c r="B41" s="262" t="s">
        <v>341</v>
      </c>
      <c r="C41" s="262">
        <v>1.00000016391277E-2</v>
      </c>
      <c r="D41" s="262">
        <v>0.120000004768372</v>
      </c>
      <c r="E41" s="262">
        <v>0.129999995231628</v>
      </c>
      <c r="F41" s="262">
        <v>37.583908081054702</v>
      </c>
      <c r="G41" s="262">
        <v>10</v>
      </c>
      <c r="H41" s="262">
        <v>116</v>
      </c>
      <c r="I41" s="262" t="s">
        <v>342</v>
      </c>
      <c r="J41" s="262">
        <v>14.3999996185303</v>
      </c>
      <c r="K41" s="262">
        <v>14.8500003814697</v>
      </c>
      <c r="L41" s="262">
        <v>0</v>
      </c>
      <c r="M41" s="262">
        <v>44.189811706542997</v>
      </c>
      <c r="N41" s="262">
        <v>0</v>
      </c>
    </row>
    <row r="42" spans="1:14">
      <c r="A42" s="262">
        <v>117</v>
      </c>
      <c r="B42" s="262" t="s">
        <v>343</v>
      </c>
      <c r="C42" s="262">
        <v>0</v>
      </c>
      <c r="D42" s="262">
        <v>0.31999999284744302</v>
      </c>
      <c r="E42" s="262">
        <v>0</v>
      </c>
      <c r="F42" s="262">
        <v>53.599723815917997</v>
      </c>
      <c r="G42" s="262">
        <v>0</v>
      </c>
      <c r="H42" s="262">
        <v>117</v>
      </c>
      <c r="I42" s="262" t="s">
        <v>344</v>
      </c>
      <c r="J42" s="262">
        <v>15.3999996185303</v>
      </c>
      <c r="K42" s="262">
        <v>16.6000061035156</v>
      </c>
      <c r="L42" s="262">
        <v>0</v>
      </c>
      <c r="M42" s="262">
        <v>60.818233489990199</v>
      </c>
      <c r="N42" s="262">
        <v>0</v>
      </c>
    </row>
    <row r="43" spans="1:14">
      <c r="A43" s="262">
        <v>118</v>
      </c>
      <c r="B43" s="262" t="s">
        <v>345</v>
      </c>
      <c r="C43" s="262">
        <v>0</v>
      </c>
      <c r="D43" s="262">
        <v>0.10000002384185799</v>
      </c>
      <c r="E43" s="262">
        <v>0</v>
      </c>
      <c r="F43" s="262">
        <v>44.585750579833999</v>
      </c>
      <c r="G43" s="262">
        <v>0</v>
      </c>
      <c r="H43" s="262">
        <v>118</v>
      </c>
      <c r="I43" s="262" t="s">
        <v>346</v>
      </c>
      <c r="J43" s="262">
        <v>14.800000190734901</v>
      </c>
      <c r="K43" s="262">
        <v>17.3999938964844</v>
      </c>
      <c r="L43" s="262">
        <v>0</v>
      </c>
      <c r="M43" s="262">
        <v>0</v>
      </c>
      <c r="N43" s="262">
        <v>0</v>
      </c>
    </row>
    <row r="44" spans="1:14">
      <c r="A44" s="262">
        <v>119</v>
      </c>
      <c r="B44" s="262" t="s">
        <v>347</v>
      </c>
      <c r="C44" s="262">
        <v>0</v>
      </c>
      <c r="D44" s="262">
        <v>0.30000001192092901</v>
      </c>
      <c r="E44" s="262">
        <v>0</v>
      </c>
      <c r="F44" s="262">
        <v>57.573387145996101</v>
      </c>
      <c r="G44" s="262">
        <v>0</v>
      </c>
      <c r="H44" s="262">
        <v>119</v>
      </c>
      <c r="I44" s="262" t="s">
        <v>348</v>
      </c>
      <c r="J44" s="262">
        <v>17.3999938964844</v>
      </c>
      <c r="K44" s="262">
        <v>18.3999938964844</v>
      </c>
      <c r="L44" s="262">
        <v>0</v>
      </c>
      <c r="M44" s="262">
        <v>63.652870178222699</v>
      </c>
      <c r="N44" s="262">
        <v>0</v>
      </c>
    </row>
    <row r="45" spans="1:14">
      <c r="A45" s="262">
        <v>120</v>
      </c>
      <c r="B45" s="262" t="s">
        <v>349</v>
      </c>
      <c r="C45" s="262">
        <v>1.00000016391277E-2</v>
      </c>
      <c r="D45" s="262">
        <v>1.9999999552965199E-2</v>
      </c>
      <c r="E45" s="262">
        <v>1.9999999552965199E-2</v>
      </c>
      <c r="F45" s="262">
        <v>37.457923889160199</v>
      </c>
      <c r="G45" s="262">
        <v>83</v>
      </c>
      <c r="H45" s="262">
        <v>120</v>
      </c>
      <c r="I45" s="262" t="s">
        <v>350</v>
      </c>
      <c r="J45" s="262">
        <v>18.300003051757798</v>
      </c>
      <c r="K45" s="262">
        <v>18.699996948242202</v>
      </c>
      <c r="L45" s="262">
        <v>0</v>
      </c>
      <c r="M45" s="262">
        <v>0</v>
      </c>
      <c r="N45" s="262">
        <v>0</v>
      </c>
    </row>
    <row r="46" spans="1:14">
      <c r="A46" s="262">
        <v>121</v>
      </c>
      <c r="B46" s="262" t="s">
        <v>351</v>
      </c>
      <c r="C46" s="262">
        <v>0</v>
      </c>
      <c r="D46" s="262">
        <v>0.270000040531158</v>
      </c>
      <c r="E46" s="262">
        <v>1.00000016391277E-2</v>
      </c>
      <c r="F46" s="262">
        <v>60.804435729980497</v>
      </c>
      <c r="G46" s="262">
        <v>1</v>
      </c>
      <c r="H46" s="262">
        <v>121</v>
      </c>
      <c r="I46" s="262" t="s">
        <v>352</v>
      </c>
      <c r="J46" s="262">
        <v>19.3999938964844</v>
      </c>
      <c r="K46" s="262">
        <v>20.6499938964844</v>
      </c>
      <c r="L46" s="262">
        <v>0</v>
      </c>
      <c r="M46" s="262">
        <v>71.689346313476605</v>
      </c>
      <c r="N46" s="262">
        <v>0</v>
      </c>
    </row>
    <row r="47" spans="1:14">
      <c r="A47" s="262">
        <v>122</v>
      </c>
      <c r="B47" s="262" t="s">
        <v>353</v>
      </c>
      <c r="C47" s="262">
        <v>0</v>
      </c>
      <c r="D47" s="262">
        <v>0.29000002145767201</v>
      </c>
      <c r="E47" s="262">
        <v>0</v>
      </c>
      <c r="F47" s="262">
        <v>63.951339721679702</v>
      </c>
      <c r="G47" s="262">
        <v>0</v>
      </c>
      <c r="H47" s="262">
        <v>122</v>
      </c>
      <c r="I47" s="262" t="s">
        <v>354</v>
      </c>
      <c r="J47" s="262">
        <v>19.050003051757798</v>
      </c>
      <c r="K47" s="262">
        <v>20.8500061035156</v>
      </c>
      <c r="L47" s="262">
        <v>0</v>
      </c>
      <c r="M47" s="262">
        <v>0</v>
      </c>
      <c r="N47" s="262">
        <v>0</v>
      </c>
    </row>
    <row r="48" spans="1:14">
      <c r="A48" s="262">
        <v>125</v>
      </c>
      <c r="B48" s="262" t="s">
        <v>355</v>
      </c>
      <c r="C48" s="262">
        <v>1.00000016391277E-2</v>
      </c>
      <c r="D48" s="262">
        <v>1.9999999552965199E-2</v>
      </c>
      <c r="E48" s="262">
        <v>1.00000016391277E-2</v>
      </c>
      <c r="F48" s="262">
        <v>45.4001655578613</v>
      </c>
      <c r="G48" s="262">
        <v>139</v>
      </c>
      <c r="H48" s="262">
        <v>125</v>
      </c>
      <c r="I48" s="262" t="s">
        <v>356</v>
      </c>
      <c r="J48" s="262">
        <v>22.25</v>
      </c>
      <c r="K48" s="262">
        <v>23.75</v>
      </c>
      <c r="L48" s="262">
        <v>0</v>
      </c>
      <c r="M48" s="262">
        <v>0</v>
      </c>
      <c r="N48" s="262">
        <v>0</v>
      </c>
    </row>
    <row r="49" spans="1:14">
      <c r="A49" s="198">
        <v>130</v>
      </c>
      <c r="B49" s="198" t="s">
        <v>30</v>
      </c>
      <c r="C49" s="198">
        <v>0</v>
      </c>
      <c r="D49" s="198">
        <v>3.9999999105930301E-2</v>
      </c>
      <c r="E49" s="198">
        <v>1.00000016391277E-2</v>
      </c>
      <c r="F49" s="198">
        <v>59.249893188476598</v>
      </c>
      <c r="G49" s="198">
        <v>10</v>
      </c>
      <c r="H49" s="198">
        <v>130</v>
      </c>
      <c r="I49" s="198" t="s">
        <v>70</v>
      </c>
      <c r="J49" s="198">
        <v>27.3999938964844</v>
      </c>
      <c r="K49" s="198">
        <v>30.3999938964844</v>
      </c>
      <c r="L49" s="198">
        <v>28.8500061035156</v>
      </c>
      <c r="M49" s="198">
        <v>88.830596923828097</v>
      </c>
      <c r="N49" s="198">
        <v>4</v>
      </c>
    </row>
    <row r="50" spans="1:14">
      <c r="A50" s="198">
        <v>135</v>
      </c>
      <c r="B50" s="198" t="s">
        <v>357</v>
      </c>
      <c r="C50" s="198">
        <v>0</v>
      </c>
      <c r="D50" s="198">
        <v>0.28000003099441501</v>
      </c>
      <c r="E50" s="198">
        <v>0</v>
      </c>
      <c r="F50" s="198">
        <v>89.631050109863295</v>
      </c>
      <c r="G50" s="198">
        <v>0</v>
      </c>
      <c r="H50" s="198">
        <v>135</v>
      </c>
      <c r="I50" s="198" t="s">
        <v>358</v>
      </c>
      <c r="J50" s="198">
        <v>31.699996948242202</v>
      </c>
      <c r="K50" s="198">
        <v>35.5</v>
      </c>
      <c r="L50" s="198">
        <v>33.8699951171875</v>
      </c>
      <c r="M50" s="198">
        <v>79.161361694335895</v>
      </c>
      <c r="N50" s="198">
        <v>4</v>
      </c>
    </row>
    <row r="51" spans="1:14">
      <c r="A51" s="262">
        <v>140</v>
      </c>
      <c r="B51" s="262" t="s">
        <v>359</v>
      </c>
      <c r="C51" s="262">
        <v>0</v>
      </c>
      <c r="D51" s="262">
        <v>0.28000003099441501</v>
      </c>
      <c r="E51" s="262">
        <v>0</v>
      </c>
      <c r="F51" s="262">
        <v>98.607093811035199</v>
      </c>
      <c r="G51" s="262">
        <v>0</v>
      </c>
      <c r="H51" s="262">
        <v>140</v>
      </c>
      <c r="I51" s="262" t="s">
        <v>360</v>
      </c>
      <c r="J51" s="262">
        <v>36.7999877929688</v>
      </c>
      <c r="K51" s="262">
        <v>40.5</v>
      </c>
      <c r="L51" s="262">
        <v>0</v>
      </c>
      <c r="M51" s="262">
        <v>92.808006286621094</v>
      </c>
      <c r="N51" s="262">
        <v>0</v>
      </c>
    </row>
    <row r="52" spans="1:14">
      <c r="A52" s="262">
        <v>145</v>
      </c>
      <c r="B52" s="262" t="s">
        <v>361</v>
      </c>
      <c r="C52" s="262">
        <v>0</v>
      </c>
      <c r="D52" s="262">
        <v>0.27999997138977101</v>
      </c>
      <c r="E52" s="262">
        <v>0</v>
      </c>
      <c r="F52" s="262">
        <v>107.10466766357401</v>
      </c>
      <c r="G52" s="262">
        <v>0</v>
      </c>
      <c r="H52" s="262">
        <v>145</v>
      </c>
      <c r="I52" s="262" t="s">
        <v>362</v>
      </c>
      <c r="J52" s="262">
        <v>41.550003051757798</v>
      </c>
      <c r="K52" s="262">
        <v>45.5</v>
      </c>
      <c r="L52" s="262">
        <v>0</v>
      </c>
      <c r="M52" s="262">
        <v>0</v>
      </c>
      <c r="N52" s="262">
        <v>0</v>
      </c>
    </row>
    <row r="53" spans="1:14">
      <c r="A53" s="262">
        <v>150</v>
      </c>
      <c r="B53" s="262" t="s">
        <v>363</v>
      </c>
      <c r="C53" s="262">
        <v>0</v>
      </c>
      <c r="D53" s="262">
        <v>0.139999985694885</v>
      </c>
      <c r="E53" s="262">
        <v>0</v>
      </c>
      <c r="F53" s="262">
        <v>103.317459106445</v>
      </c>
      <c r="G53" s="262">
        <v>0</v>
      </c>
      <c r="H53" s="262">
        <v>150</v>
      </c>
      <c r="I53" s="262" t="s">
        <v>364</v>
      </c>
      <c r="J53" s="262">
        <v>46.449996948242202</v>
      </c>
      <c r="K53" s="262">
        <v>50.449996948242202</v>
      </c>
      <c r="L53" s="262">
        <v>0</v>
      </c>
      <c r="M53" s="262">
        <v>0</v>
      </c>
      <c r="N53" s="262">
        <v>0</v>
      </c>
    </row>
    <row r="54" spans="1:14">
      <c r="A54" s="262">
        <v>155</v>
      </c>
      <c r="B54" s="262" t="s">
        <v>365</v>
      </c>
      <c r="C54" s="262">
        <v>0</v>
      </c>
      <c r="D54" s="262">
        <v>0.28000003099441501</v>
      </c>
      <c r="E54" s="262">
        <v>0</v>
      </c>
      <c r="F54" s="262">
        <v>122.87273406982401</v>
      </c>
      <c r="G54" s="262">
        <v>0</v>
      </c>
      <c r="H54" s="262">
        <v>155</v>
      </c>
      <c r="I54" s="262" t="s">
        <v>366</v>
      </c>
      <c r="J54" s="262">
        <v>51.699996948242202</v>
      </c>
      <c r="K54" s="262">
        <v>55.449996948242202</v>
      </c>
      <c r="L54" s="262">
        <v>0</v>
      </c>
      <c r="M54" s="262">
        <v>106.18426513671901</v>
      </c>
      <c r="N54" s="262">
        <v>0</v>
      </c>
    </row>
    <row r="55" spans="1:14">
      <c r="A55" s="262">
        <v>160</v>
      </c>
      <c r="B55" s="262" t="s">
        <v>367</v>
      </c>
      <c r="C55" s="262">
        <v>0</v>
      </c>
      <c r="D55" s="262">
        <v>0.28000003099441501</v>
      </c>
      <c r="E55" s="262">
        <v>0</v>
      </c>
      <c r="F55" s="262">
        <v>130.22433471679699</v>
      </c>
      <c r="G55" s="262">
        <v>0</v>
      </c>
      <c r="H55" s="262">
        <v>160</v>
      </c>
      <c r="I55" s="262" t="s">
        <v>368</v>
      </c>
      <c r="J55" s="262">
        <v>56.75</v>
      </c>
      <c r="K55" s="262">
        <v>60.399993896484403</v>
      </c>
      <c r="L55" s="262">
        <v>0</v>
      </c>
      <c r="M55" s="262">
        <v>112.991264343262</v>
      </c>
      <c r="N55" s="262">
        <v>0</v>
      </c>
    </row>
    <row r="56" spans="1:14">
      <c r="A56" s="262">
        <v>165</v>
      </c>
      <c r="B56" s="262" t="s">
        <v>369</v>
      </c>
      <c r="C56" s="262">
        <v>0</v>
      </c>
      <c r="D56" s="262">
        <v>0.28000003099441501</v>
      </c>
      <c r="E56" s="262">
        <v>0</v>
      </c>
      <c r="F56" s="262">
        <v>137.26428222656199</v>
      </c>
      <c r="G56" s="262">
        <v>0</v>
      </c>
      <c r="H56" s="262">
        <v>165</v>
      </c>
      <c r="I56" s="262" t="s">
        <v>370</v>
      </c>
      <c r="J56" s="262">
        <v>61.5499877929688</v>
      </c>
      <c r="K56" s="262">
        <v>65.349990844726605</v>
      </c>
      <c r="L56" s="262">
        <v>0</v>
      </c>
      <c r="M56" s="262">
        <v>0</v>
      </c>
      <c r="N56" s="262">
        <v>0</v>
      </c>
    </row>
    <row r="57" spans="1:14">
      <c r="A57" s="262">
        <v>170</v>
      </c>
      <c r="B57" s="262" t="s">
        <v>371</v>
      </c>
      <c r="C57" s="262">
        <v>0</v>
      </c>
      <c r="D57" s="262">
        <v>0.28000003099441501</v>
      </c>
      <c r="E57" s="262">
        <v>0</v>
      </c>
      <c r="F57" s="262">
        <v>144.01916503906199</v>
      </c>
      <c r="G57" s="262">
        <v>0</v>
      </c>
      <c r="H57" s="262">
        <v>170</v>
      </c>
      <c r="I57" s="262" t="s">
        <v>372</v>
      </c>
      <c r="J57" s="262">
        <v>66.449996948242202</v>
      </c>
      <c r="K57" s="262">
        <v>70.449996948242202</v>
      </c>
      <c r="L57" s="262">
        <v>0</v>
      </c>
      <c r="M57" s="262">
        <v>0</v>
      </c>
      <c r="N57" s="262">
        <v>0</v>
      </c>
    </row>
    <row r="58" spans="1:14">
      <c r="A58" s="452" t="s">
        <v>373</v>
      </c>
      <c r="B58" s="452"/>
      <c r="C58" s="452"/>
      <c r="D58" s="452"/>
      <c r="E58" s="452"/>
      <c r="F58" s="452"/>
      <c r="G58" s="452"/>
      <c r="H58" s="198"/>
      <c r="I58" s="198"/>
      <c r="J58" s="198"/>
      <c r="K58" s="198"/>
      <c r="L58" s="198"/>
      <c r="M58" s="198"/>
      <c r="N58" s="198"/>
    </row>
    <row r="59" spans="1:14">
      <c r="A59" s="263">
        <v>55</v>
      </c>
      <c r="B59" s="263" t="s">
        <v>374</v>
      </c>
      <c r="C59" s="263">
        <v>46.199996948242202</v>
      </c>
      <c r="D59" s="263">
        <v>48.800003051757798</v>
      </c>
      <c r="E59" s="263">
        <v>46.8099975585938</v>
      </c>
      <c r="F59" s="263">
        <v>113.97512054443401</v>
      </c>
      <c r="G59" s="263">
        <v>1</v>
      </c>
      <c r="H59" s="263">
        <v>55</v>
      </c>
      <c r="I59" s="263" t="s">
        <v>375</v>
      </c>
      <c r="J59" s="263">
        <v>0</v>
      </c>
      <c r="K59" s="263">
        <v>0.30000001192092901</v>
      </c>
      <c r="L59" s="263">
        <v>0</v>
      </c>
      <c r="M59" s="263">
        <v>91.853698730468807</v>
      </c>
      <c r="N59" s="263">
        <v>0</v>
      </c>
    </row>
    <row r="60" spans="1:14">
      <c r="A60" s="263">
        <v>60</v>
      </c>
      <c r="B60" s="263" t="s">
        <v>376</v>
      </c>
      <c r="C60" s="263">
        <v>41.099990844726598</v>
      </c>
      <c r="D60" s="263">
        <v>43.900009155273402</v>
      </c>
      <c r="E60" s="263">
        <v>0</v>
      </c>
      <c r="F60" s="263">
        <v>99.508193969726605</v>
      </c>
      <c r="G60" s="263">
        <v>0</v>
      </c>
      <c r="H60" s="263">
        <v>60</v>
      </c>
      <c r="I60" s="263" t="s">
        <v>377</v>
      </c>
      <c r="J60" s="263">
        <v>0</v>
      </c>
      <c r="K60" s="263">
        <v>0.31000000238418601</v>
      </c>
      <c r="L60" s="263">
        <v>0</v>
      </c>
      <c r="M60" s="263">
        <v>80.793182373046903</v>
      </c>
      <c r="N60" s="263">
        <v>0</v>
      </c>
    </row>
    <row r="61" spans="1:14">
      <c r="A61" s="263">
        <v>65</v>
      </c>
      <c r="B61" s="263" t="s">
        <v>378</v>
      </c>
      <c r="C61" s="263">
        <v>36.599990844726598</v>
      </c>
      <c r="D61" s="263">
        <v>37.0499877929688</v>
      </c>
      <c r="E61" s="263">
        <v>37.199996948242202</v>
      </c>
      <c r="F61" s="263">
        <v>52.473384857177699</v>
      </c>
      <c r="G61" s="263">
        <v>9</v>
      </c>
      <c r="H61" s="263">
        <v>65</v>
      </c>
      <c r="I61" s="263" t="s">
        <v>379</v>
      </c>
      <c r="J61" s="263">
        <v>0</v>
      </c>
      <c r="K61" s="263">
        <v>0.33000004291534402</v>
      </c>
      <c r="L61" s="263">
        <v>0</v>
      </c>
      <c r="M61" s="263">
        <v>70.869239807128906</v>
      </c>
      <c r="N61" s="263">
        <v>0</v>
      </c>
    </row>
    <row r="62" spans="1:14">
      <c r="A62" s="263">
        <v>70</v>
      </c>
      <c r="B62" s="263" t="s">
        <v>380</v>
      </c>
      <c r="C62" s="263">
        <v>30.099990844726602</v>
      </c>
      <c r="D62" s="263">
        <v>33.949996948242202</v>
      </c>
      <c r="E62" s="263">
        <v>0</v>
      </c>
      <c r="F62" s="263">
        <v>58.318485260009801</v>
      </c>
      <c r="G62" s="263">
        <v>0</v>
      </c>
      <c r="H62" s="263">
        <v>70</v>
      </c>
      <c r="I62" s="263" t="s">
        <v>381</v>
      </c>
      <c r="J62" s="263">
        <v>0</v>
      </c>
      <c r="K62" s="263">
        <v>0.40000003576278698</v>
      </c>
      <c r="L62" s="263">
        <v>0</v>
      </c>
      <c r="M62" s="263">
        <v>63.087574005127003</v>
      </c>
      <c r="N62" s="263">
        <v>0</v>
      </c>
    </row>
    <row r="63" spans="1:14">
      <c r="A63" s="263">
        <v>75</v>
      </c>
      <c r="B63" s="263" t="s">
        <v>382</v>
      </c>
      <c r="C63" s="263">
        <v>26.6000061035156</v>
      </c>
      <c r="D63" s="263">
        <v>27.3500061035156</v>
      </c>
      <c r="E63" s="263">
        <v>0</v>
      </c>
      <c r="F63" s="263">
        <v>45.521427154541001</v>
      </c>
      <c r="G63" s="263">
        <v>0</v>
      </c>
      <c r="H63" s="263">
        <v>75</v>
      </c>
      <c r="I63" s="263" t="s">
        <v>383</v>
      </c>
      <c r="J63" s="263">
        <v>3.0000001192092899E-2</v>
      </c>
      <c r="K63" s="263">
        <v>0.490000009536743</v>
      </c>
      <c r="L63" s="263">
        <v>0.25</v>
      </c>
      <c r="M63" s="263">
        <v>48.777530670166001</v>
      </c>
      <c r="N63" s="263">
        <v>1</v>
      </c>
    </row>
    <row r="64" spans="1:14">
      <c r="A64" s="263">
        <v>80</v>
      </c>
      <c r="B64" s="263" t="s">
        <v>384</v>
      </c>
      <c r="C64" s="263">
        <v>20.5499877929688</v>
      </c>
      <c r="D64" s="263">
        <v>23.75</v>
      </c>
      <c r="E64" s="263">
        <v>0</v>
      </c>
      <c r="F64" s="263">
        <v>42.967533111572301</v>
      </c>
      <c r="G64" s="263">
        <v>0</v>
      </c>
      <c r="H64" s="263">
        <v>80</v>
      </c>
      <c r="I64" s="263" t="s">
        <v>385</v>
      </c>
      <c r="J64" s="263">
        <v>0.129999995231628</v>
      </c>
      <c r="K64" s="263">
        <v>0.19999998807907099</v>
      </c>
      <c r="L64" s="263">
        <v>0.16000002622604401</v>
      </c>
      <c r="M64" s="263">
        <v>36.628978729247997</v>
      </c>
      <c r="N64" s="263">
        <v>1</v>
      </c>
    </row>
    <row r="65" spans="1:14">
      <c r="A65" s="263">
        <v>85</v>
      </c>
      <c r="B65" s="263" t="s">
        <v>386</v>
      </c>
      <c r="C65" s="263">
        <v>15.6499996185303</v>
      </c>
      <c r="D65" s="263">
        <v>18.25</v>
      </c>
      <c r="E65" s="263">
        <v>0</v>
      </c>
      <c r="F65" s="263">
        <v>25.937290191650401</v>
      </c>
      <c r="G65" s="263">
        <v>0</v>
      </c>
      <c r="H65" s="263">
        <v>85</v>
      </c>
      <c r="I65" s="263" t="s">
        <v>387</v>
      </c>
      <c r="J65" s="263">
        <v>5.0000000745058101E-2</v>
      </c>
      <c r="K65" s="263">
        <v>0.480000019073486</v>
      </c>
      <c r="L65" s="263">
        <v>0.259999990463257</v>
      </c>
      <c r="M65" s="263">
        <v>31.540990829467798</v>
      </c>
      <c r="N65" s="263">
        <v>33</v>
      </c>
    </row>
    <row r="66" spans="1:14">
      <c r="A66" s="263">
        <v>90</v>
      </c>
      <c r="B66" s="263" t="s">
        <v>388</v>
      </c>
      <c r="C66" s="263">
        <v>12.1499996185303</v>
      </c>
      <c r="D66" s="263">
        <v>12.550000190734901</v>
      </c>
      <c r="E66" s="263">
        <v>0</v>
      </c>
      <c r="F66" s="263">
        <v>28.038425445556602</v>
      </c>
      <c r="G66" s="263">
        <v>0</v>
      </c>
      <c r="H66" s="263">
        <v>90</v>
      </c>
      <c r="I66" s="263" t="s">
        <v>389</v>
      </c>
      <c r="J66" s="263">
        <v>0.480000019073486</v>
      </c>
      <c r="K66" s="263">
        <v>0.55000001192092896</v>
      </c>
      <c r="L66" s="263">
        <v>0.480000019073486</v>
      </c>
      <c r="M66" s="263">
        <v>27.534162521362301</v>
      </c>
      <c r="N66" s="263">
        <v>64</v>
      </c>
    </row>
    <row r="67" spans="1:14">
      <c r="A67" s="263">
        <v>95</v>
      </c>
      <c r="B67" s="263" t="s">
        <v>390</v>
      </c>
      <c r="C67" s="263">
        <v>7.8499994277954102</v>
      </c>
      <c r="D67" s="263">
        <v>8</v>
      </c>
      <c r="E67" s="263">
        <v>7.9499998092651403</v>
      </c>
      <c r="F67" s="263">
        <v>25.0425128936768</v>
      </c>
      <c r="G67" s="263">
        <v>10</v>
      </c>
      <c r="H67" s="263">
        <v>95</v>
      </c>
      <c r="I67" s="263" t="s">
        <v>391</v>
      </c>
      <c r="J67" s="263">
        <v>1.1399993896484399</v>
      </c>
      <c r="K67" s="263">
        <v>1.44999980926514</v>
      </c>
      <c r="L67" s="263">
        <v>1.1800003051757799</v>
      </c>
      <c r="M67" s="263">
        <v>25.9726467132568</v>
      </c>
      <c r="N67" s="263">
        <v>656</v>
      </c>
    </row>
    <row r="68" spans="1:14">
      <c r="A68" s="263">
        <v>100</v>
      </c>
      <c r="B68" s="263" t="s">
        <v>392</v>
      </c>
      <c r="C68" s="263">
        <v>4.25</v>
      </c>
      <c r="D68" s="263">
        <v>4.4000005722045898</v>
      </c>
      <c r="E68" s="263">
        <v>4.3000001907348597</v>
      </c>
      <c r="F68" s="263">
        <v>23.473512649536101</v>
      </c>
      <c r="G68" s="263">
        <v>46</v>
      </c>
      <c r="H68" s="263">
        <v>100</v>
      </c>
      <c r="I68" s="263" t="s">
        <v>393</v>
      </c>
      <c r="J68" s="263">
        <v>2.6800003051757799</v>
      </c>
      <c r="K68" s="263">
        <v>2.75</v>
      </c>
      <c r="L68" s="263">
        <v>2.6999998092651398</v>
      </c>
      <c r="M68" s="263">
        <v>23.4707756042481</v>
      </c>
      <c r="N68" s="263">
        <v>910</v>
      </c>
    </row>
    <row r="69" spans="1:14">
      <c r="A69" s="263">
        <v>105</v>
      </c>
      <c r="B69" s="263" t="s">
        <v>394</v>
      </c>
      <c r="C69" s="263">
        <v>1.8599996566772501</v>
      </c>
      <c r="D69" s="263">
        <v>2.04999923706055</v>
      </c>
      <c r="E69" s="263">
        <v>1.8999996185302701</v>
      </c>
      <c r="F69" s="263">
        <v>22.7873630523682</v>
      </c>
      <c r="G69" s="263">
        <v>289</v>
      </c>
      <c r="H69" s="263">
        <v>105</v>
      </c>
      <c r="I69" s="263" t="s">
        <v>395</v>
      </c>
      <c r="J69" s="263">
        <v>5.0500001907348597</v>
      </c>
      <c r="K69" s="263">
        <v>5.5</v>
      </c>
      <c r="L69" s="263">
        <v>5.3200006484985396</v>
      </c>
      <c r="M69" s="263">
        <v>21.571853637695298</v>
      </c>
      <c r="N69" s="263">
        <v>67</v>
      </c>
    </row>
    <row r="70" spans="1:14">
      <c r="A70" s="263">
        <v>110</v>
      </c>
      <c r="B70" s="263" t="s">
        <v>396</v>
      </c>
      <c r="C70" s="263">
        <v>0.68000000715255704</v>
      </c>
      <c r="D70" s="263">
        <v>0.69999998807907104</v>
      </c>
      <c r="E70" s="263">
        <v>0.68999999761581399</v>
      </c>
      <c r="F70" s="263">
        <v>22.093917846679702</v>
      </c>
      <c r="G70" s="263">
        <v>720</v>
      </c>
      <c r="H70" s="263">
        <v>110</v>
      </c>
      <c r="I70" s="263" t="s">
        <v>397</v>
      </c>
      <c r="J70" s="263">
        <v>8</v>
      </c>
      <c r="K70" s="263">
        <v>9.75</v>
      </c>
      <c r="L70" s="263">
        <v>0</v>
      </c>
      <c r="M70" s="263">
        <v>17.79758644104</v>
      </c>
      <c r="N70" s="263">
        <v>0</v>
      </c>
    </row>
    <row r="71" spans="1:14">
      <c r="A71" s="263">
        <v>115</v>
      </c>
      <c r="B71" s="263" t="s">
        <v>398</v>
      </c>
      <c r="C71" s="263">
        <v>0.230000019073486</v>
      </c>
      <c r="D71" s="263">
        <v>0.25</v>
      </c>
      <c r="E71" s="263">
        <v>0.25</v>
      </c>
      <c r="F71" s="263">
        <v>22.714271545410199</v>
      </c>
      <c r="G71" s="263">
        <v>219</v>
      </c>
      <c r="H71" s="263">
        <v>115</v>
      </c>
      <c r="I71" s="263" t="s">
        <v>399</v>
      </c>
      <c r="J71" s="263">
        <v>13.6499996185303</v>
      </c>
      <c r="K71" s="263">
        <v>14.199999809265099</v>
      </c>
      <c r="L71" s="263">
        <v>13.800000190734901</v>
      </c>
      <c r="M71" s="263">
        <v>26.2000522613525</v>
      </c>
      <c r="N71" s="263">
        <v>2</v>
      </c>
    </row>
    <row r="72" spans="1:14">
      <c r="A72" s="263">
        <v>120</v>
      </c>
      <c r="B72" s="263" t="s">
        <v>400</v>
      </c>
      <c r="C72" s="263">
        <v>1.00000016391277E-2</v>
      </c>
      <c r="D72" s="263">
        <v>0.110000014305115</v>
      </c>
      <c r="E72" s="263">
        <v>5.0000000745058101E-2</v>
      </c>
      <c r="F72" s="263">
        <v>22.4373264312744</v>
      </c>
      <c r="G72" s="263">
        <v>15</v>
      </c>
      <c r="H72" s="263">
        <v>120</v>
      </c>
      <c r="I72" s="263" t="s">
        <v>401</v>
      </c>
      <c r="J72" s="263">
        <v>17.1000061035156</v>
      </c>
      <c r="K72" s="263">
        <v>19</v>
      </c>
      <c r="L72" s="263">
        <v>0</v>
      </c>
      <c r="M72" s="263">
        <v>0</v>
      </c>
      <c r="N72" s="263">
        <v>0</v>
      </c>
    </row>
    <row r="73" spans="1:14">
      <c r="A73" s="263">
        <v>125</v>
      </c>
      <c r="B73" s="263" t="s">
        <v>402</v>
      </c>
      <c r="C73" s="263">
        <v>1.9999999552965199E-2</v>
      </c>
      <c r="D73" s="263">
        <v>5.0000000745058101E-2</v>
      </c>
      <c r="E73" s="263">
        <v>3.0000001192092899E-2</v>
      </c>
      <c r="F73" s="263">
        <v>25.0926208496094</v>
      </c>
      <c r="G73" s="263">
        <v>101</v>
      </c>
      <c r="H73" s="263">
        <v>125</v>
      </c>
      <c r="I73" s="263" t="s">
        <v>403</v>
      </c>
      <c r="J73" s="263">
        <v>23.349990844726602</v>
      </c>
      <c r="K73" s="263">
        <v>24.099990844726602</v>
      </c>
      <c r="L73" s="263">
        <v>0</v>
      </c>
      <c r="M73" s="263">
        <v>33.159996032714801</v>
      </c>
      <c r="N73" s="263">
        <v>0</v>
      </c>
    </row>
    <row r="74" spans="1:14">
      <c r="A74" s="263">
        <v>130</v>
      </c>
      <c r="B74" s="263" t="s">
        <v>404</v>
      </c>
      <c r="C74" s="263">
        <v>9.9999997764825804E-3</v>
      </c>
      <c r="D74" s="263">
        <v>0.18000000715255701</v>
      </c>
      <c r="E74" s="263">
        <v>0</v>
      </c>
      <c r="F74" s="263">
        <v>33.356288909912102</v>
      </c>
      <c r="G74" s="263">
        <v>0</v>
      </c>
      <c r="H74" s="263">
        <v>130</v>
      </c>
      <c r="I74" s="263" t="s">
        <v>405</v>
      </c>
      <c r="J74" s="263">
        <v>27.1000061035156</v>
      </c>
      <c r="K74" s="263">
        <v>29.25</v>
      </c>
      <c r="L74" s="263">
        <v>0</v>
      </c>
      <c r="M74" s="263">
        <v>0</v>
      </c>
      <c r="N74" s="263">
        <v>0</v>
      </c>
    </row>
    <row r="75" spans="1:14">
      <c r="A75" s="263">
        <v>135</v>
      </c>
      <c r="B75" s="263" t="s">
        <v>406</v>
      </c>
      <c r="C75" s="263">
        <v>0</v>
      </c>
      <c r="D75" s="263">
        <v>0.20999997854232799</v>
      </c>
      <c r="E75" s="263">
        <v>0</v>
      </c>
      <c r="F75" s="263">
        <v>42.563526153564503</v>
      </c>
      <c r="G75" s="263">
        <v>0</v>
      </c>
      <c r="H75" s="263">
        <v>135</v>
      </c>
      <c r="I75" s="263" t="s">
        <v>407</v>
      </c>
      <c r="J75" s="263">
        <v>31.5</v>
      </c>
      <c r="K75" s="263">
        <v>35.199996948242202</v>
      </c>
      <c r="L75" s="263">
        <v>0</v>
      </c>
      <c r="M75" s="263">
        <v>0</v>
      </c>
      <c r="N75" s="263">
        <v>0</v>
      </c>
    </row>
    <row r="76" spans="1:14">
      <c r="A76" s="263">
        <v>140</v>
      </c>
      <c r="B76" s="263" t="s">
        <v>408</v>
      </c>
      <c r="C76" s="263">
        <v>0</v>
      </c>
      <c r="D76" s="263">
        <v>0.30000001192092901</v>
      </c>
      <c r="E76" s="263">
        <v>0</v>
      </c>
      <c r="F76" s="263">
        <v>49.891914367675803</v>
      </c>
      <c r="G76" s="263">
        <v>0</v>
      </c>
      <c r="H76" s="263">
        <v>140</v>
      </c>
      <c r="I76" s="263" t="s">
        <v>409</v>
      </c>
      <c r="J76" s="263">
        <v>37.349990844726598</v>
      </c>
      <c r="K76" s="263">
        <v>40.349990844726598</v>
      </c>
      <c r="L76" s="263">
        <v>0</v>
      </c>
      <c r="M76" s="263">
        <v>53.090377807617202</v>
      </c>
      <c r="N76" s="263">
        <v>0</v>
      </c>
    </row>
    <row r="77" spans="1:14">
      <c r="A77" s="263">
        <v>145</v>
      </c>
      <c r="B77" s="263" t="s">
        <v>410</v>
      </c>
      <c r="C77" s="263">
        <v>0</v>
      </c>
      <c r="D77" s="263">
        <v>0.29000002145767201</v>
      </c>
      <c r="E77" s="263">
        <v>0</v>
      </c>
      <c r="F77" s="263">
        <v>53.846221923828097</v>
      </c>
      <c r="G77" s="263">
        <v>0</v>
      </c>
      <c r="H77" s="263">
        <v>145</v>
      </c>
      <c r="I77" s="263" t="s">
        <v>411</v>
      </c>
      <c r="J77" s="263">
        <v>41.449996948242202</v>
      </c>
      <c r="K77" s="263">
        <v>45.449996948242202</v>
      </c>
      <c r="L77" s="263">
        <v>0</v>
      </c>
      <c r="M77" s="263">
        <v>0</v>
      </c>
      <c r="N77" s="263">
        <v>0</v>
      </c>
    </row>
    <row r="78" spans="1:14">
      <c r="A78" s="263">
        <v>150</v>
      </c>
      <c r="B78" s="263" t="s">
        <v>412</v>
      </c>
      <c r="C78" s="263">
        <v>0</v>
      </c>
      <c r="D78" s="263">
        <v>1.00000016391277E-2</v>
      </c>
      <c r="E78" s="263">
        <v>0</v>
      </c>
      <c r="F78" s="263">
        <v>38.001392364502003</v>
      </c>
      <c r="G78" s="263">
        <v>0</v>
      </c>
      <c r="H78" s="263">
        <v>150</v>
      </c>
      <c r="I78" s="263" t="s">
        <v>413</v>
      </c>
      <c r="J78" s="263">
        <v>46.449996948242202</v>
      </c>
      <c r="K78" s="263">
        <v>50.449996948242202</v>
      </c>
      <c r="L78" s="263">
        <v>0</v>
      </c>
      <c r="M78" s="263">
        <v>0</v>
      </c>
      <c r="N78" s="263">
        <v>0</v>
      </c>
    </row>
    <row r="79" spans="1:14">
      <c r="A79" s="263">
        <v>155</v>
      </c>
      <c r="B79" s="263" t="s">
        <v>414</v>
      </c>
      <c r="C79" s="263">
        <v>0</v>
      </c>
      <c r="D79" s="263">
        <v>1.00000016391277E-2</v>
      </c>
      <c r="E79" s="263">
        <v>0</v>
      </c>
      <c r="F79" s="263">
        <v>40.824825286865199</v>
      </c>
      <c r="G79" s="263">
        <v>0</v>
      </c>
      <c r="H79" s="263">
        <v>155</v>
      </c>
      <c r="I79" s="263" t="s">
        <v>415</v>
      </c>
      <c r="J79" s="263">
        <v>51.699996948242202</v>
      </c>
      <c r="K79" s="263">
        <v>55.449996948242202</v>
      </c>
      <c r="L79" s="263">
        <v>0</v>
      </c>
      <c r="M79" s="263">
        <v>57.475337982177699</v>
      </c>
      <c r="N79" s="263">
        <v>0</v>
      </c>
    </row>
    <row r="80" spans="1:14">
      <c r="A80" s="263">
        <v>160</v>
      </c>
      <c r="B80" s="263" t="s">
        <v>416</v>
      </c>
      <c r="C80" s="263">
        <v>0</v>
      </c>
      <c r="D80" s="263">
        <v>0.10000002384185799</v>
      </c>
      <c r="E80" s="263">
        <v>0</v>
      </c>
      <c r="F80" s="263">
        <v>55.960182189941399</v>
      </c>
      <c r="G80" s="263">
        <v>0</v>
      </c>
      <c r="H80" s="263">
        <v>160</v>
      </c>
      <c r="I80" s="263" t="s">
        <v>417</v>
      </c>
      <c r="J80" s="263">
        <v>56.800003051757798</v>
      </c>
      <c r="K80" s="263">
        <v>60.25</v>
      </c>
      <c r="L80" s="263">
        <v>0</v>
      </c>
      <c r="M80" s="263">
        <v>0</v>
      </c>
      <c r="N80" s="263">
        <v>0</v>
      </c>
    </row>
    <row r="81" spans="1:14">
      <c r="A81" s="263">
        <v>165</v>
      </c>
      <c r="B81" s="263" t="s">
        <v>418</v>
      </c>
      <c r="C81" s="263">
        <v>0</v>
      </c>
      <c r="D81" s="263">
        <v>0.28000003099441501</v>
      </c>
      <c r="E81" s="263">
        <v>0</v>
      </c>
      <c r="F81" s="263">
        <v>68.568016052246094</v>
      </c>
      <c r="G81" s="263">
        <v>0</v>
      </c>
      <c r="H81" s="263">
        <v>165</v>
      </c>
      <c r="I81" s="263" t="s">
        <v>419</v>
      </c>
      <c r="J81" s="263">
        <v>61.649993896484403</v>
      </c>
      <c r="K81" s="263">
        <v>65.300003051757798</v>
      </c>
      <c r="L81" s="263">
        <v>0</v>
      </c>
      <c r="M81" s="263">
        <v>0</v>
      </c>
      <c r="N81" s="263">
        <v>0</v>
      </c>
    </row>
    <row r="82" spans="1:14">
      <c r="A82" s="263">
        <v>170</v>
      </c>
      <c r="B82" s="263" t="s">
        <v>420</v>
      </c>
      <c r="C82" s="263">
        <v>0</v>
      </c>
      <c r="D82" s="263">
        <v>0.28000003099441501</v>
      </c>
      <c r="E82" s="263">
        <v>0</v>
      </c>
      <c r="F82" s="263">
        <v>71.937194824218807</v>
      </c>
      <c r="G82" s="263">
        <v>0</v>
      </c>
      <c r="H82" s="263">
        <v>170</v>
      </c>
      <c r="I82" s="263" t="s">
        <v>421</v>
      </c>
      <c r="J82" s="263">
        <v>66.449996948242202</v>
      </c>
      <c r="K82" s="263">
        <v>70.449996948242202</v>
      </c>
      <c r="L82" s="263">
        <v>0</v>
      </c>
      <c r="M82" s="263">
        <v>0</v>
      </c>
      <c r="N82" s="263">
        <v>0</v>
      </c>
    </row>
    <row r="83" spans="1:14">
      <c r="A83" s="263">
        <v>175</v>
      </c>
      <c r="B83" s="263" t="s">
        <v>422</v>
      </c>
      <c r="C83" s="263">
        <v>0</v>
      </c>
      <c r="D83" s="263">
        <v>0.27999997138977101</v>
      </c>
      <c r="E83" s="263">
        <v>0</v>
      </c>
      <c r="F83" s="263">
        <v>75.171760559082003</v>
      </c>
      <c r="G83" s="263">
        <v>0</v>
      </c>
      <c r="H83" s="263">
        <v>175</v>
      </c>
      <c r="I83" s="263" t="s">
        <v>423</v>
      </c>
      <c r="J83" s="263">
        <v>71.699996948242202</v>
      </c>
      <c r="K83" s="263">
        <v>75.349990844726605</v>
      </c>
      <c r="L83" s="263">
        <v>0</v>
      </c>
      <c r="M83" s="263">
        <v>0</v>
      </c>
      <c r="N83" s="263">
        <v>0</v>
      </c>
    </row>
    <row r="85" spans="1:14" ht="14.45" thickBot="1"/>
    <row r="86" spans="1:14" ht="14.45" thickBot="1">
      <c r="A86" s="120" t="s">
        <v>201</v>
      </c>
      <c r="B86" s="120" t="s">
        <v>295</v>
      </c>
      <c r="C86" s="120" t="s">
        <v>296</v>
      </c>
      <c r="D86" s="121" t="s">
        <v>6</v>
      </c>
      <c r="E86" s="120" t="s">
        <v>7</v>
      </c>
      <c r="F86" s="120" t="s">
        <v>297</v>
      </c>
      <c r="G86" s="134" t="s">
        <v>298</v>
      </c>
      <c r="H86" s="122" t="s">
        <v>299</v>
      </c>
      <c r="I86" s="122" t="s">
        <v>424</v>
      </c>
    </row>
    <row r="87" spans="1:14" ht="14.45" thickBot="1">
      <c r="A87" s="124">
        <v>45601</v>
      </c>
      <c r="B87" s="125">
        <v>102</v>
      </c>
      <c r="C87" s="125" t="s">
        <v>22</v>
      </c>
      <c r="D87" s="125">
        <v>1.5999994277954099</v>
      </c>
      <c r="E87" s="126">
        <v>1.65999984741211</v>
      </c>
      <c r="F87" s="125">
        <v>1.6900005340576201</v>
      </c>
      <c r="G87" s="125">
        <f>25.2881336212158/100</f>
        <v>0.25288133621215797</v>
      </c>
      <c r="H87" s="127">
        <v>41</v>
      </c>
      <c r="I87" s="127">
        <v>101.65</v>
      </c>
    </row>
    <row r="88" spans="1:14" ht="14.45" thickBot="1">
      <c r="A88" s="124">
        <v>45602</v>
      </c>
      <c r="B88" s="125">
        <v>102</v>
      </c>
      <c r="C88" s="125" t="s">
        <v>22</v>
      </c>
      <c r="D88" s="125">
        <v>0.730000019073486</v>
      </c>
      <c r="E88" s="126">
        <v>0.91000002622604403</v>
      </c>
      <c r="F88" s="125">
        <v>0.87000000476837203</v>
      </c>
      <c r="G88" s="125">
        <f>17.9776229858398/100</f>
        <v>0.179776229858398</v>
      </c>
      <c r="H88" s="127">
        <v>667</v>
      </c>
      <c r="I88" s="127">
        <v>100.73</v>
      </c>
    </row>
    <row r="89" spans="1:14" ht="14.45" thickBot="1">
      <c r="A89" s="124">
        <v>45603</v>
      </c>
      <c r="B89" s="125">
        <v>102</v>
      </c>
      <c r="C89" s="125" t="s">
        <v>22</v>
      </c>
      <c r="D89" s="125">
        <v>0.87999999523162797</v>
      </c>
      <c r="E89" s="126">
        <v>1.5</v>
      </c>
      <c r="F89" s="125">
        <v>0.93000000715255704</v>
      </c>
      <c r="G89" s="125">
        <f>23.8076725006104/100</f>
        <v>0.23807672500610402</v>
      </c>
      <c r="H89" s="127">
        <v>697</v>
      </c>
      <c r="I89" s="127">
        <v>101.17</v>
      </c>
    </row>
    <row r="90" spans="1:14" ht="14.45" thickBot="1">
      <c r="A90" s="124">
        <v>45604</v>
      </c>
      <c r="B90" s="125">
        <v>102</v>
      </c>
      <c r="C90" s="125" t="s">
        <v>22</v>
      </c>
      <c r="D90" s="125">
        <v>1.57999992370605</v>
      </c>
      <c r="E90" s="126">
        <v>2.1400003433227499</v>
      </c>
      <c r="F90" s="125">
        <v>1.69999980926514</v>
      </c>
      <c r="G90" s="125">
        <f>22.6287307739258/100</f>
        <v>0.22628730773925798</v>
      </c>
      <c r="H90" s="127">
        <v>796</v>
      </c>
      <c r="I90" s="127">
        <v>102.92</v>
      </c>
    </row>
    <row r="91" spans="1:14" ht="14.45" thickBot="1">
      <c r="A91" s="130">
        <v>45605</v>
      </c>
      <c r="B91" s="125">
        <v>102</v>
      </c>
      <c r="C91" s="125" t="s">
        <v>22</v>
      </c>
      <c r="D91" s="125">
        <v>1.57999992370605</v>
      </c>
      <c r="E91" s="126">
        <v>2.1400003433227499</v>
      </c>
      <c r="F91" s="131">
        <v>1.69999980926514</v>
      </c>
      <c r="G91" s="131">
        <f>22.6287307739258/100</f>
        <v>0.22628730773925798</v>
      </c>
      <c r="H91" s="127">
        <v>796</v>
      </c>
      <c r="I91" s="127">
        <v>102.92</v>
      </c>
    </row>
    <row r="92" spans="1:14" ht="14.45" thickBot="1">
      <c r="A92" s="130">
        <v>45606</v>
      </c>
      <c r="B92" s="125">
        <v>102</v>
      </c>
      <c r="C92" s="125" t="s">
        <v>22</v>
      </c>
      <c r="D92" s="125">
        <v>1.57999992370605</v>
      </c>
      <c r="E92" s="126">
        <v>2.1400003433227499</v>
      </c>
      <c r="F92" s="131">
        <v>1.69999980926514</v>
      </c>
      <c r="G92" s="131">
        <f>22.6287307739258/100</f>
        <v>0.22628730773925798</v>
      </c>
      <c r="H92" s="127">
        <v>796</v>
      </c>
      <c r="I92" s="127">
        <v>102.92</v>
      </c>
    </row>
    <row r="93" spans="1:14" ht="14.45" thickBot="1">
      <c r="A93" s="124">
        <v>45607</v>
      </c>
      <c r="B93" s="125">
        <v>102</v>
      </c>
      <c r="C93" s="125" t="s">
        <v>22</v>
      </c>
      <c r="D93" s="125">
        <v>0.34000003337860102</v>
      </c>
      <c r="E93" s="126">
        <v>0.56999999284744296</v>
      </c>
      <c r="F93" s="125">
        <v>0.41000002622604398</v>
      </c>
      <c r="G93" s="125">
        <f>19.94482421875/100</f>
        <v>0.19944824218750001</v>
      </c>
      <c r="H93" s="127">
        <v>715</v>
      </c>
      <c r="I93" s="127">
        <v>100.73</v>
      </c>
    </row>
    <row r="94" spans="1:14" ht="14.45" thickBot="1">
      <c r="A94" s="124">
        <v>45608</v>
      </c>
      <c r="B94" s="125">
        <v>102</v>
      </c>
      <c r="C94" s="125" t="s">
        <v>22</v>
      </c>
      <c r="D94" s="125">
        <v>7.9999983310699505E-2</v>
      </c>
      <c r="E94" s="126">
        <v>0.110000014305115</v>
      </c>
      <c r="F94" s="125">
        <v>7.9999983310699505E-2</v>
      </c>
      <c r="G94" s="125">
        <f>21.1003704071045/100</f>
        <v>0.21100370407104499</v>
      </c>
      <c r="H94" s="127">
        <v>997</v>
      </c>
      <c r="I94" s="127">
        <v>98.58</v>
      </c>
    </row>
    <row r="95" spans="1:14" ht="14.45" thickBot="1">
      <c r="A95" s="124">
        <v>45609</v>
      </c>
      <c r="B95" s="125">
        <v>102</v>
      </c>
      <c r="C95" s="125" t="s">
        <v>22</v>
      </c>
      <c r="D95" s="125">
        <v>3.0000001192092899E-2</v>
      </c>
      <c r="E95" s="126">
        <v>5.0000000745058101E-2</v>
      </c>
      <c r="F95" s="125">
        <v>5.0000000745058101E-2</v>
      </c>
      <c r="G95" s="125">
        <f>23.1497402191162/100</f>
        <v>0.23149740219116199</v>
      </c>
      <c r="H95" s="127">
        <v>174</v>
      </c>
      <c r="I95" s="127">
        <v>98.5</v>
      </c>
    </row>
    <row r="96" spans="1:14" ht="14.45" thickBot="1">
      <c r="A96" s="124">
        <v>45610</v>
      </c>
      <c r="B96" s="125">
        <v>102</v>
      </c>
      <c r="C96" s="125" t="s">
        <v>22</v>
      </c>
      <c r="D96" s="125">
        <v>9.9999997764825804E-3</v>
      </c>
      <c r="E96" s="126">
        <v>3.9999999105930301E-2</v>
      </c>
      <c r="F96" s="125">
        <v>1.9999999552965199E-2</v>
      </c>
      <c r="G96" s="125">
        <f>32.4056549072266/100</f>
        <v>0.324056549072266</v>
      </c>
      <c r="H96" s="127">
        <v>779</v>
      </c>
      <c r="I96" s="127">
        <v>98.36</v>
      </c>
    </row>
    <row r="97" spans="1:9" ht="14.45" thickBot="1">
      <c r="A97" s="124">
        <v>45611</v>
      </c>
      <c r="B97" s="125">
        <v>102</v>
      </c>
      <c r="C97" s="125" t="s">
        <v>22</v>
      </c>
      <c r="D97" s="125">
        <v>0</v>
      </c>
      <c r="E97" s="126">
        <v>1.00000016391277E-2</v>
      </c>
      <c r="F97" s="125">
        <v>1.00000016391277E-2</v>
      </c>
      <c r="G97" s="125">
        <f>467.474853515625/100</f>
        <v>4.6747485351562501</v>
      </c>
      <c r="H97" s="127">
        <v>19</v>
      </c>
      <c r="I97" s="127">
        <v>96.31</v>
      </c>
    </row>
    <row r="99" spans="1:9" ht="14.45" thickBot="1"/>
    <row r="100" spans="1:9" ht="14.45" thickBot="1">
      <c r="A100" s="120" t="s">
        <v>201</v>
      </c>
      <c r="B100" s="120" t="s">
        <v>295</v>
      </c>
      <c r="C100" s="120" t="s">
        <v>296</v>
      </c>
      <c r="D100" s="121" t="s">
        <v>6</v>
      </c>
      <c r="E100" s="120" t="s">
        <v>7</v>
      </c>
      <c r="F100" s="120" t="s">
        <v>297</v>
      </c>
      <c r="G100" s="134" t="s">
        <v>298</v>
      </c>
      <c r="H100" s="122" t="s">
        <v>299</v>
      </c>
      <c r="I100" s="122" t="s">
        <v>424</v>
      </c>
    </row>
    <row r="101" spans="1:9" ht="14.45" thickBot="1">
      <c r="A101" s="124">
        <v>45601</v>
      </c>
      <c r="B101" s="125">
        <v>102</v>
      </c>
      <c r="C101" s="125" t="s">
        <v>62</v>
      </c>
      <c r="D101" s="125">
        <v>1.96999931335449</v>
      </c>
      <c r="E101" s="126">
        <v>2.0600004196167001</v>
      </c>
      <c r="F101" s="125">
        <v>2.0200004577636701</v>
      </c>
      <c r="G101" s="125">
        <f>24.8180484771729/100</f>
        <v>0.24818048477172902</v>
      </c>
      <c r="H101" s="127">
        <v>65</v>
      </c>
      <c r="I101" s="127">
        <v>101.65</v>
      </c>
    </row>
    <row r="102" spans="1:9" ht="14.45" thickBot="1">
      <c r="A102" s="124">
        <v>45602</v>
      </c>
      <c r="B102" s="125">
        <v>102</v>
      </c>
      <c r="C102" s="125" t="s">
        <v>62</v>
      </c>
      <c r="D102" s="125">
        <v>1.7600002288818399</v>
      </c>
      <c r="E102" s="126">
        <v>1.8999996185302701</v>
      </c>
      <c r="F102" s="125">
        <v>1.7600002288818399</v>
      </c>
      <c r="G102" s="125">
        <f>19.6807899475098/100</f>
        <v>0.19680789947509802</v>
      </c>
      <c r="H102" s="127">
        <v>121</v>
      </c>
      <c r="I102" s="127">
        <v>100.73</v>
      </c>
    </row>
    <row r="103" spans="1:9" ht="14.45" thickBot="1">
      <c r="A103" s="124">
        <v>45603</v>
      </c>
      <c r="B103" s="125">
        <v>102</v>
      </c>
      <c r="C103" s="125" t="s">
        <v>62</v>
      </c>
      <c r="D103" s="125">
        <v>1.4400005340576201</v>
      </c>
      <c r="E103" s="126">
        <v>1.8999996185302701</v>
      </c>
      <c r="F103" s="125">
        <v>1.6099996566772501</v>
      </c>
      <c r="G103" s="125">
        <f>21.0366344451904/100</f>
        <v>0.21036634445190402</v>
      </c>
      <c r="H103" s="127">
        <v>180</v>
      </c>
      <c r="I103" s="127">
        <v>101.17</v>
      </c>
    </row>
    <row r="104" spans="1:9" ht="14.45" thickBot="1">
      <c r="A104" s="124">
        <v>45604</v>
      </c>
      <c r="B104" s="125">
        <v>102</v>
      </c>
      <c r="C104" s="125" t="s">
        <v>62</v>
      </c>
      <c r="D104" s="125">
        <v>0.57999998331069902</v>
      </c>
      <c r="E104" s="126">
        <v>0.68000000715255704</v>
      </c>
      <c r="F104" s="125">
        <v>0.61000001430511497</v>
      </c>
      <c r="G104" s="125">
        <f>18.2637310028076/100</f>
        <v>0.18263731002807598</v>
      </c>
      <c r="H104" s="127">
        <v>331</v>
      </c>
      <c r="I104" s="127">
        <v>102.92</v>
      </c>
    </row>
    <row r="105" spans="1:9" ht="14.45" thickBot="1">
      <c r="A105" s="130">
        <v>45605</v>
      </c>
      <c r="B105" s="125">
        <v>102</v>
      </c>
      <c r="C105" s="125" t="s">
        <v>62</v>
      </c>
      <c r="D105" s="125">
        <v>0.57999998331069902</v>
      </c>
      <c r="E105" s="126">
        <v>0.68000000715255704</v>
      </c>
      <c r="F105" s="131">
        <v>0.61000001430511497</v>
      </c>
      <c r="G105" s="131">
        <f>18.2637310028076/100</f>
        <v>0.18263731002807598</v>
      </c>
      <c r="H105" s="127">
        <v>331</v>
      </c>
      <c r="I105" s="127">
        <v>102.92</v>
      </c>
    </row>
    <row r="106" spans="1:9" ht="14.45" thickBot="1">
      <c r="A106" s="130">
        <v>45606</v>
      </c>
      <c r="B106" s="125">
        <v>102</v>
      </c>
      <c r="C106" s="125" t="s">
        <v>62</v>
      </c>
      <c r="D106" s="125">
        <v>0.57999998331069902</v>
      </c>
      <c r="E106" s="126">
        <v>0.68000000715255704</v>
      </c>
      <c r="F106" s="131">
        <v>0.61000001430511497</v>
      </c>
      <c r="G106" s="131">
        <f>18.2637310028076/100</f>
        <v>0.18263731002807598</v>
      </c>
      <c r="H106" s="127">
        <v>331</v>
      </c>
      <c r="I106" s="127">
        <v>102.92</v>
      </c>
    </row>
    <row r="107" spans="1:9" ht="14.45" thickBot="1">
      <c r="A107" s="124">
        <v>45607</v>
      </c>
      <c r="B107" s="125">
        <v>102</v>
      </c>
      <c r="C107" s="125" t="s">
        <v>62</v>
      </c>
      <c r="D107" s="125">
        <v>1.6099996566772501</v>
      </c>
      <c r="E107" s="126">
        <v>1.8999996185302701</v>
      </c>
      <c r="F107" s="125">
        <v>1.78999996185303</v>
      </c>
      <c r="G107" s="125">
        <f>16.5353698730469/100</f>
        <v>0.16535369873046901</v>
      </c>
      <c r="H107" s="127">
        <v>77</v>
      </c>
      <c r="I107" s="127">
        <v>100.73</v>
      </c>
    </row>
    <row r="108" spans="1:9" ht="14.45" thickBot="1">
      <c r="A108" s="124">
        <v>45608</v>
      </c>
      <c r="B108" s="125">
        <v>102</v>
      </c>
      <c r="C108" s="125" t="s">
        <v>62</v>
      </c>
      <c r="D108" s="125">
        <v>2.8800001144409202</v>
      </c>
      <c r="E108" s="126">
        <v>3.25</v>
      </c>
      <c r="F108" s="125">
        <v>2.4700002670288099</v>
      </c>
      <c r="G108" s="125">
        <v>0</v>
      </c>
      <c r="H108" s="127">
        <v>46</v>
      </c>
      <c r="I108" s="127">
        <v>98.58</v>
      </c>
    </row>
    <row r="109" spans="1:9" ht="14.45" thickBot="1">
      <c r="A109" s="124">
        <v>45609</v>
      </c>
      <c r="B109" s="125">
        <v>102</v>
      </c>
      <c r="C109" s="125" t="s">
        <v>62</v>
      </c>
      <c r="D109" s="125">
        <v>3.4000005722045898</v>
      </c>
      <c r="E109" s="126">
        <v>3.6000003814697301</v>
      </c>
      <c r="F109" s="125">
        <v>3.2200002670288099</v>
      </c>
      <c r="G109" s="125">
        <f>16.8075084686279/100</f>
        <v>0.16807508468627902</v>
      </c>
      <c r="H109" s="127">
        <v>43</v>
      </c>
      <c r="I109" s="127">
        <v>98.5</v>
      </c>
    </row>
    <row r="110" spans="1:9" ht="14.45" thickBot="1">
      <c r="A110" s="124">
        <v>45610</v>
      </c>
      <c r="B110" s="125">
        <v>102</v>
      </c>
      <c r="C110" s="125" t="s">
        <v>62</v>
      </c>
      <c r="D110" s="125">
        <v>2.96000003814697</v>
      </c>
      <c r="E110" s="126">
        <v>4.0500001907348597</v>
      </c>
      <c r="F110" s="125">
        <v>3</v>
      </c>
      <c r="G110" s="125">
        <v>0</v>
      </c>
      <c r="H110" s="127">
        <v>26</v>
      </c>
      <c r="I110" s="127">
        <v>98.36</v>
      </c>
    </row>
    <row r="111" spans="1:9" ht="14.45" thickBot="1">
      <c r="A111" s="124">
        <v>45611</v>
      </c>
      <c r="B111" s="125">
        <v>102</v>
      </c>
      <c r="C111" s="125" t="s">
        <v>62</v>
      </c>
      <c r="D111" s="125">
        <v>5.5500001907348597</v>
      </c>
      <c r="E111" s="126">
        <v>6.8999996185302699</v>
      </c>
      <c r="F111" s="125">
        <v>5.3200006484985396</v>
      </c>
      <c r="G111" s="125">
        <f>1095.548828125/100</f>
        <v>10.95548828125</v>
      </c>
      <c r="H111" s="127">
        <v>27</v>
      </c>
      <c r="I111" s="127">
        <v>96.31</v>
      </c>
    </row>
  </sheetData>
  <autoFilter ref="A6:N83" xr:uid="{D12D7BE3-2969-4D74-8677-D36742D28001}"/>
  <mergeCells count="5">
    <mergeCell ref="A5:G5"/>
    <mergeCell ref="A7:G7"/>
    <mergeCell ref="A58:G58"/>
    <mergeCell ref="A1:N1"/>
    <mergeCell ref="H5:N5"/>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2D287-F266-46DA-B25A-73B12BF69E52}">
  <dimension ref="A1:N74"/>
  <sheetViews>
    <sheetView showGridLines="0" topLeftCell="B1" zoomScaleNormal="100" workbookViewId="0">
      <selection activeCell="C22" sqref="A1:XFD1048576"/>
    </sheetView>
  </sheetViews>
  <sheetFormatPr defaultColWidth="8.85546875" defaultRowHeight="13.9"/>
  <cols>
    <col min="1" max="1" width="14.42578125" style="196" customWidth="1"/>
    <col min="2" max="2" width="30.7109375" style="196" bestFit="1" customWidth="1"/>
    <col min="3" max="3" width="27.7109375" style="196" customWidth="1"/>
    <col min="4" max="6" width="17.28515625" style="196" bestFit="1" customWidth="1"/>
    <col min="7" max="8" width="14.7109375" style="196" bestFit="1" customWidth="1"/>
    <col min="9" max="9" width="18.140625" style="196" bestFit="1" customWidth="1"/>
    <col min="10" max="13" width="17.28515625" style="196" bestFit="1" customWidth="1"/>
    <col min="14" max="14" width="14.7109375" style="196" bestFit="1" customWidth="1"/>
    <col min="15" max="16384" width="8.85546875" style="196"/>
  </cols>
  <sheetData>
    <row r="1" spans="1:14">
      <c r="A1" s="446" t="s">
        <v>425</v>
      </c>
      <c r="B1" s="446"/>
      <c r="C1" s="446"/>
      <c r="D1" s="446"/>
      <c r="E1" s="446"/>
      <c r="F1" s="446"/>
      <c r="G1" s="446"/>
      <c r="H1" s="446"/>
      <c r="I1" s="446"/>
      <c r="J1" s="446"/>
      <c r="K1" s="446"/>
      <c r="L1" s="446"/>
      <c r="M1" s="446"/>
      <c r="N1" s="446"/>
    </row>
    <row r="3" spans="1:14">
      <c r="A3" s="445" t="s">
        <v>293</v>
      </c>
      <c r="B3" s="445"/>
      <c r="C3" s="445"/>
      <c r="D3" s="445"/>
      <c r="E3" s="445"/>
      <c r="F3" s="445"/>
      <c r="G3" s="445"/>
      <c r="H3" s="445" t="s">
        <v>294</v>
      </c>
      <c r="I3" s="445"/>
      <c r="J3" s="445"/>
      <c r="K3" s="445"/>
      <c r="L3" s="445"/>
      <c r="M3" s="445"/>
      <c r="N3" s="445"/>
    </row>
    <row r="4" spans="1:14">
      <c r="A4" s="252" t="s">
        <v>295</v>
      </c>
      <c r="B4" s="252" t="s">
        <v>296</v>
      </c>
      <c r="C4" s="252" t="s">
        <v>6</v>
      </c>
      <c r="D4" s="252" t="s">
        <v>7</v>
      </c>
      <c r="E4" s="252" t="s">
        <v>297</v>
      </c>
      <c r="F4" s="252" t="s">
        <v>298</v>
      </c>
      <c r="G4" s="252" t="s">
        <v>299</v>
      </c>
      <c r="H4" s="252" t="s">
        <v>295</v>
      </c>
      <c r="I4" s="252" t="s">
        <v>296</v>
      </c>
      <c r="J4" s="252" t="s">
        <v>6</v>
      </c>
      <c r="K4" s="252" t="s">
        <v>7</v>
      </c>
      <c r="L4" s="252" t="s">
        <v>297</v>
      </c>
      <c r="M4" s="252" t="s">
        <v>298</v>
      </c>
      <c r="N4" s="252" t="s">
        <v>299</v>
      </c>
    </row>
    <row r="5" spans="1:14">
      <c r="A5" s="196" t="s">
        <v>300</v>
      </c>
      <c r="N5" s="253"/>
    </row>
    <row r="6" spans="1:14">
      <c r="A6" s="198">
        <v>95</v>
      </c>
      <c r="B6" s="198" t="s">
        <v>17</v>
      </c>
      <c r="C6" s="254">
        <v>6.6500005722045898</v>
      </c>
      <c r="D6" s="254">
        <v>6.9499998092651403</v>
      </c>
      <c r="E6" s="254">
        <v>6.9499998092651403</v>
      </c>
      <c r="F6" s="254">
        <v>28.584434509277301</v>
      </c>
      <c r="G6" s="254">
        <v>12</v>
      </c>
      <c r="H6" s="254">
        <v>95</v>
      </c>
      <c r="I6" s="254" t="s">
        <v>57</v>
      </c>
      <c r="J6" s="254">
        <v>7.9999983310699505E-2</v>
      </c>
      <c r="K6" s="254">
        <v>0.259999990463257</v>
      </c>
      <c r="L6" s="254">
        <v>0.240000009536743</v>
      </c>
      <c r="M6" s="254">
        <v>26.78151512146</v>
      </c>
      <c r="N6" s="255">
        <v>24</v>
      </c>
    </row>
    <row r="7" spans="1:14">
      <c r="A7" s="198">
        <v>98</v>
      </c>
      <c r="B7" s="198" t="s">
        <v>18</v>
      </c>
      <c r="C7" s="254">
        <v>4.1500005722045898</v>
      </c>
      <c r="D7" s="254">
        <v>4.3000001907348597</v>
      </c>
      <c r="E7" s="254">
        <v>4.1999998092651403</v>
      </c>
      <c r="F7" s="254">
        <v>27.168388366699201</v>
      </c>
      <c r="G7" s="254">
        <v>2</v>
      </c>
      <c r="H7" s="254">
        <v>98</v>
      </c>
      <c r="I7" s="254" t="s">
        <v>58</v>
      </c>
      <c r="J7" s="254">
        <v>0.56000000238418601</v>
      </c>
      <c r="K7" s="254">
        <v>0.66000002622604403</v>
      </c>
      <c r="L7" s="254">
        <v>0.60000002384185802</v>
      </c>
      <c r="M7" s="254">
        <v>26.5734252929688</v>
      </c>
      <c r="N7" s="254">
        <v>124</v>
      </c>
    </row>
    <row r="8" spans="1:14">
      <c r="A8" s="198">
        <v>99</v>
      </c>
      <c r="B8" s="198" t="s">
        <v>19</v>
      </c>
      <c r="C8" s="254">
        <v>3.4000005722045898</v>
      </c>
      <c r="D8" s="254">
        <v>3.5500001907348602</v>
      </c>
      <c r="E8" s="254">
        <v>3.67000007629394</v>
      </c>
      <c r="F8" s="254">
        <v>26.8258666992188</v>
      </c>
      <c r="G8" s="254">
        <v>10</v>
      </c>
      <c r="H8" s="254">
        <v>99</v>
      </c>
      <c r="I8" s="254" t="s">
        <v>59</v>
      </c>
      <c r="J8" s="254">
        <v>0.87000000476837203</v>
      </c>
      <c r="K8" s="254">
        <v>0.88999998569488503</v>
      </c>
      <c r="L8" s="254">
        <v>0.87999999523162797</v>
      </c>
      <c r="M8" s="254">
        <v>26.641626358032202</v>
      </c>
      <c r="N8" s="254">
        <v>56</v>
      </c>
    </row>
    <row r="9" spans="1:14">
      <c r="A9" s="198">
        <v>100</v>
      </c>
      <c r="B9" s="198" t="s">
        <v>20</v>
      </c>
      <c r="C9" s="254">
        <v>2.7300004959106401</v>
      </c>
      <c r="D9" s="254">
        <v>2.8400001525878902</v>
      </c>
      <c r="E9" s="254">
        <v>2.8000001907348602</v>
      </c>
      <c r="F9" s="254">
        <v>26.3561191558838</v>
      </c>
      <c r="G9" s="254">
        <v>55</v>
      </c>
      <c r="H9" s="254">
        <v>100</v>
      </c>
      <c r="I9" s="254" t="s">
        <v>60</v>
      </c>
      <c r="J9" s="254">
        <v>1.0600004196167001</v>
      </c>
      <c r="K9" s="254">
        <v>1.19999980926514</v>
      </c>
      <c r="L9" s="254">
        <v>1.17000007629395</v>
      </c>
      <c r="M9" s="254">
        <v>25.2994594573975</v>
      </c>
      <c r="N9" s="254">
        <v>84</v>
      </c>
    </row>
    <row r="10" spans="1:14">
      <c r="A10" s="198">
        <v>101</v>
      </c>
      <c r="B10" s="198" t="s">
        <v>21</v>
      </c>
      <c r="C10" s="254">
        <v>2.1099996566772501</v>
      </c>
      <c r="D10" s="254">
        <v>2.21000003814697</v>
      </c>
      <c r="E10" s="254">
        <v>2.32999992370606</v>
      </c>
      <c r="F10" s="254">
        <v>25.734918594360401</v>
      </c>
      <c r="G10" s="254">
        <v>28</v>
      </c>
      <c r="H10" s="254">
        <v>101</v>
      </c>
      <c r="I10" s="254" t="s">
        <v>61</v>
      </c>
      <c r="J10" s="254">
        <v>1.50999927520752</v>
      </c>
      <c r="K10" s="254">
        <v>1.59000015258789</v>
      </c>
      <c r="L10" s="254">
        <v>1.4800004959106401</v>
      </c>
      <c r="M10" s="254">
        <v>25.354883193969702</v>
      </c>
      <c r="N10" s="254">
        <v>100</v>
      </c>
    </row>
    <row r="11" spans="1:14">
      <c r="A11" s="198">
        <v>102</v>
      </c>
      <c r="B11" s="198" t="s">
        <v>22</v>
      </c>
      <c r="C11" s="254">
        <v>1.5999994277954099</v>
      </c>
      <c r="D11" s="254">
        <v>1.65999984741211</v>
      </c>
      <c r="E11" s="254">
        <v>1.6900005340576201</v>
      </c>
      <c r="F11" s="254">
        <v>25.288133621215799</v>
      </c>
      <c r="G11" s="254">
        <v>41</v>
      </c>
      <c r="H11" s="254">
        <v>102</v>
      </c>
      <c r="I11" s="254" t="s">
        <v>62</v>
      </c>
      <c r="J11" s="254">
        <v>1.96999931335449</v>
      </c>
      <c r="K11" s="254">
        <v>2.0600004196167001</v>
      </c>
      <c r="L11" s="254">
        <v>2.0200004577636701</v>
      </c>
      <c r="M11" s="254">
        <v>24.818048477172901</v>
      </c>
      <c r="N11" s="254">
        <v>65</v>
      </c>
    </row>
    <row r="12" spans="1:14">
      <c r="A12" s="198">
        <v>103</v>
      </c>
      <c r="B12" s="198" t="s">
        <v>23</v>
      </c>
      <c r="C12" s="254">
        <v>1.17000007629395</v>
      </c>
      <c r="D12" s="254">
        <v>1.2200002670288099</v>
      </c>
      <c r="E12" s="254">
        <v>1.2799997329711901</v>
      </c>
      <c r="F12" s="254">
        <v>24.9610691070557</v>
      </c>
      <c r="G12" s="254">
        <v>89</v>
      </c>
      <c r="H12" s="254">
        <v>103</v>
      </c>
      <c r="I12" s="254" t="s">
        <v>63</v>
      </c>
      <c r="J12" s="254">
        <v>2.5500001907348602</v>
      </c>
      <c r="K12" s="254">
        <v>2.6199998855590798</v>
      </c>
      <c r="L12" s="254">
        <v>2.5900001525878902</v>
      </c>
      <c r="M12" s="254">
        <v>24.5023918151856</v>
      </c>
      <c r="N12" s="254">
        <v>28</v>
      </c>
    </row>
    <row r="13" spans="1:14">
      <c r="A13" s="198">
        <v>104</v>
      </c>
      <c r="B13" s="198" t="s">
        <v>24</v>
      </c>
      <c r="C13" s="254">
        <v>0.81999999284744296</v>
      </c>
      <c r="D13" s="254">
        <v>0.87000000476837203</v>
      </c>
      <c r="E13" s="254">
        <v>0.87000000476837203</v>
      </c>
      <c r="F13" s="254">
        <v>24.6371250152588</v>
      </c>
      <c r="G13" s="254">
        <v>56</v>
      </c>
      <c r="H13" s="254">
        <v>104</v>
      </c>
      <c r="I13" s="254" t="s">
        <v>64</v>
      </c>
      <c r="J13" s="254">
        <v>3.1999998092651398</v>
      </c>
      <c r="K13" s="254">
        <v>3.3500003814697301</v>
      </c>
      <c r="L13" s="254">
        <v>3.3000001907348602</v>
      </c>
      <c r="M13" s="254">
        <v>24.7009792327881</v>
      </c>
      <c r="N13" s="254">
        <v>29</v>
      </c>
    </row>
    <row r="14" spans="1:14">
      <c r="A14" s="198">
        <v>105</v>
      </c>
      <c r="B14" s="198" t="s">
        <v>25</v>
      </c>
      <c r="C14" s="254">
        <v>0.56999999284744296</v>
      </c>
      <c r="D14" s="254">
        <v>0.61000001430511497</v>
      </c>
      <c r="E14" s="254">
        <v>0.56999999284744296</v>
      </c>
      <c r="F14" s="254">
        <v>24.601615905761701</v>
      </c>
      <c r="G14" s="254">
        <v>660</v>
      </c>
      <c r="H14" s="254">
        <v>105</v>
      </c>
      <c r="I14" s="254" t="s">
        <v>65</v>
      </c>
      <c r="J14" s="254">
        <v>3.9499998092651398</v>
      </c>
      <c r="K14" s="254">
        <v>4.0500001907348597</v>
      </c>
      <c r="L14" s="254">
        <v>4.0500001907348597</v>
      </c>
      <c r="M14" s="254">
        <v>24.1961879730225</v>
      </c>
      <c r="N14" s="254">
        <v>69</v>
      </c>
    </row>
    <row r="15" spans="1:14">
      <c r="A15" s="198">
        <v>106</v>
      </c>
      <c r="B15" s="198" t="s">
        <v>26</v>
      </c>
      <c r="C15" s="254">
        <v>0.38999998569488498</v>
      </c>
      <c r="D15" s="254">
        <v>0.42000001668929998</v>
      </c>
      <c r="E15" s="254">
        <v>0.40000003576278698</v>
      </c>
      <c r="F15" s="254">
        <v>24.682907104492202</v>
      </c>
      <c r="G15" s="254">
        <v>107</v>
      </c>
      <c r="H15" s="254">
        <v>106</v>
      </c>
      <c r="I15" s="254" t="s">
        <v>66</v>
      </c>
      <c r="J15" s="254">
        <v>4.8000001907348597</v>
      </c>
      <c r="K15" s="254">
        <v>4.9000005722045898</v>
      </c>
      <c r="L15" s="254">
        <v>4.8500003814697301</v>
      </c>
      <c r="M15" s="254">
        <v>24.819932937622099</v>
      </c>
      <c r="N15" s="254">
        <v>11</v>
      </c>
    </row>
    <row r="16" spans="1:14">
      <c r="A16" s="198">
        <v>107</v>
      </c>
      <c r="B16" s="198" t="s">
        <v>27</v>
      </c>
      <c r="C16" s="254">
        <v>0.240000009536743</v>
      </c>
      <c r="D16" s="254">
        <v>0.29000002145767201</v>
      </c>
      <c r="E16" s="254">
        <v>0.30000001192092901</v>
      </c>
      <c r="F16" s="254">
        <v>24.602554321289102</v>
      </c>
      <c r="G16" s="254">
        <v>36</v>
      </c>
      <c r="H16" s="254">
        <v>107</v>
      </c>
      <c r="I16" s="254" t="s">
        <v>67</v>
      </c>
      <c r="J16" s="254">
        <v>5.6500005722045898</v>
      </c>
      <c r="K16" s="254">
        <v>5.8000001907348597</v>
      </c>
      <c r="L16" s="254">
        <v>5.6999998092651403</v>
      </c>
      <c r="M16" s="254">
        <v>24.942792892456101</v>
      </c>
      <c r="N16" s="254">
        <v>6</v>
      </c>
    </row>
    <row r="17" spans="1:14">
      <c r="A17" s="198">
        <v>110</v>
      </c>
      <c r="B17" s="198" t="s">
        <v>28</v>
      </c>
      <c r="C17" s="254">
        <v>9.0000033378601102E-2</v>
      </c>
      <c r="D17" s="254">
        <v>0.120000004768372</v>
      </c>
      <c r="E17" s="254">
        <v>9.0000033378601102E-2</v>
      </c>
      <c r="F17" s="254">
        <v>27.0456142425537</v>
      </c>
      <c r="G17" s="254">
        <v>114</v>
      </c>
      <c r="H17" s="254">
        <v>110</v>
      </c>
      <c r="I17" s="254" t="s">
        <v>68</v>
      </c>
      <c r="J17" s="254">
        <v>8.5</v>
      </c>
      <c r="K17" s="254">
        <v>8.6999998092651403</v>
      </c>
      <c r="L17" s="254">
        <v>8.4799995422363299</v>
      </c>
      <c r="M17" s="254">
        <v>28.406557083129901</v>
      </c>
      <c r="N17" s="254">
        <v>143</v>
      </c>
    </row>
    <row r="18" spans="1:14">
      <c r="A18" s="198">
        <v>114</v>
      </c>
      <c r="B18" s="198" t="s">
        <v>29</v>
      </c>
      <c r="C18" s="254">
        <v>1.9999999552965199E-2</v>
      </c>
      <c r="D18" s="254">
        <v>0.120000004768372</v>
      </c>
      <c r="E18" s="254">
        <v>5.9999998658895499E-2</v>
      </c>
      <c r="F18" s="254">
        <v>33.869380950927699</v>
      </c>
      <c r="G18" s="254">
        <v>30</v>
      </c>
      <c r="H18" s="254">
        <v>114</v>
      </c>
      <c r="I18" s="254" t="s">
        <v>69</v>
      </c>
      <c r="J18" s="254">
        <v>12.3999996185303</v>
      </c>
      <c r="K18" s="254">
        <v>12.699999809265099</v>
      </c>
      <c r="L18" s="254">
        <v>12.829999923706</v>
      </c>
      <c r="M18" s="254">
        <v>32.745090484619098</v>
      </c>
      <c r="N18" s="254">
        <v>30</v>
      </c>
    </row>
    <row r="19" spans="1:14">
      <c r="A19" s="198">
        <v>130</v>
      </c>
      <c r="B19" s="198" t="s">
        <v>30</v>
      </c>
      <c r="C19" s="254">
        <v>0</v>
      </c>
      <c r="D19" s="254">
        <v>3.9999999105930301E-2</v>
      </c>
      <c r="E19" s="254">
        <v>1.00000016391277E-2</v>
      </c>
      <c r="F19" s="254">
        <v>59.249893188476598</v>
      </c>
      <c r="G19" s="254">
        <v>10</v>
      </c>
      <c r="H19" s="254">
        <v>130</v>
      </c>
      <c r="I19" s="254" t="s">
        <v>70</v>
      </c>
      <c r="J19" s="254">
        <v>27.3999938964844</v>
      </c>
      <c r="K19" s="254">
        <v>30.3999938964844</v>
      </c>
      <c r="L19" s="254">
        <v>28.8500061035156</v>
      </c>
      <c r="M19" s="254">
        <v>88.830596923828097</v>
      </c>
      <c r="N19" s="254">
        <v>4</v>
      </c>
    </row>
    <row r="21" spans="1:14">
      <c r="J21" s="196">
        <v>7.9999983310699505E-2</v>
      </c>
      <c r="K21" s="196">
        <v>0.259999990463257</v>
      </c>
    </row>
    <row r="22" spans="1:14">
      <c r="J22" s="196">
        <v>0.56000000238418601</v>
      </c>
      <c r="K22" s="196">
        <v>0.66000002622604403</v>
      </c>
    </row>
    <row r="23" spans="1:14">
      <c r="J23" s="196">
        <v>0.87000000476837203</v>
      </c>
      <c r="K23" s="196">
        <v>0.88999998569488503</v>
      </c>
    </row>
    <row r="24" spans="1:14">
      <c r="J24" s="196">
        <v>1.0600004196167001</v>
      </c>
      <c r="K24" s="196">
        <v>1.19999980926514</v>
      </c>
    </row>
    <row r="25" spans="1:14">
      <c r="J25" s="196">
        <v>1.50999927520752</v>
      </c>
      <c r="K25" s="196">
        <v>1.59000015258789</v>
      </c>
    </row>
    <row r="26" spans="1:14">
      <c r="J26" s="196">
        <v>1.96999931335449</v>
      </c>
      <c r="K26" s="196">
        <v>2.0600004196167001</v>
      </c>
    </row>
    <row r="27" spans="1:14">
      <c r="J27" s="196">
        <v>2.5500001907348602</v>
      </c>
      <c r="K27" s="196">
        <v>2.6199998855590798</v>
      </c>
    </row>
    <row r="28" spans="1:14">
      <c r="J28" s="196">
        <v>3.1999998092651398</v>
      </c>
      <c r="K28" s="196">
        <v>3.3500003814697301</v>
      </c>
    </row>
    <row r="29" spans="1:14">
      <c r="J29" s="196">
        <v>3.9499998092651398</v>
      </c>
      <c r="K29" s="196">
        <v>4.0500001907348597</v>
      </c>
    </row>
    <row r="30" spans="1:14">
      <c r="J30" s="196">
        <v>4.8000001907348597</v>
      </c>
      <c r="K30" s="196">
        <v>4.9000005722045898</v>
      </c>
    </row>
    <row r="31" spans="1:14">
      <c r="J31" s="196">
        <v>5.6500005722045898</v>
      </c>
      <c r="K31" s="196">
        <v>5.8000001907348597</v>
      </c>
    </row>
    <row r="32" spans="1:14">
      <c r="J32" s="196">
        <v>8.5</v>
      </c>
      <c r="K32" s="196">
        <v>8.6999998092651403</v>
      </c>
    </row>
    <row r="33" spans="1:11">
      <c r="J33" s="196">
        <v>12.3999996185303</v>
      </c>
      <c r="K33" s="196">
        <v>12.699999809265099</v>
      </c>
    </row>
    <row r="34" spans="1:11">
      <c r="J34" s="196">
        <v>27.3999938964844</v>
      </c>
      <c r="K34" s="196">
        <v>30.3999938964844</v>
      </c>
    </row>
    <row r="37" spans="1:11">
      <c r="A37" s="256" t="s">
        <v>1</v>
      </c>
    </row>
    <row r="38" spans="1:11">
      <c r="A38" s="257" t="s">
        <v>426</v>
      </c>
      <c r="B38" s="257" t="s">
        <v>163</v>
      </c>
    </row>
    <row r="40" spans="1:11">
      <c r="B40" s="258" t="s">
        <v>32</v>
      </c>
      <c r="C40" s="258" t="s">
        <v>295</v>
      </c>
      <c r="D40" s="258" t="s">
        <v>34</v>
      </c>
      <c r="E40" s="258" t="s">
        <v>6</v>
      </c>
      <c r="F40" s="258" t="s">
        <v>7</v>
      </c>
      <c r="G40" s="258" t="s">
        <v>427</v>
      </c>
      <c r="H40" s="258" t="s">
        <v>428</v>
      </c>
      <c r="I40" s="258" t="s">
        <v>2</v>
      </c>
      <c r="J40" s="258" t="s">
        <v>429</v>
      </c>
      <c r="K40" s="258" t="s">
        <v>35</v>
      </c>
    </row>
    <row r="41" spans="1:11">
      <c r="B41" s="253">
        <v>45601.617951388893</v>
      </c>
      <c r="C41" s="253">
        <v>102</v>
      </c>
      <c r="D41" s="253">
        <v>1.69</v>
      </c>
      <c r="E41" s="253">
        <v>1.6</v>
      </c>
      <c r="F41" s="253">
        <v>1.66</v>
      </c>
      <c r="G41" s="253">
        <v>-0.57000004999999998</v>
      </c>
      <c r="H41" s="253">
        <v>-28.643217</v>
      </c>
      <c r="I41" s="253">
        <v>41</v>
      </c>
      <c r="J41" s="253">
        <v>790</v>
      </c>
      <c r="K41" s="253">
        <v>7.7999999999999996E-3</v>
      </c>
    </row>
    <row r="42" spans="1:11">
      <c r="B42" s="253"/>
      <c r="C42" s="253"/>
      <c r="D42" s="253"/>
      <c r="E42" s="253"/>
      <c r="F42" s="253"/>
      <c r="G42" s="253"/>
      <c r="H42" s="253"/>
      <c r="I42" s="253"/>
      <c r="J42" s="253"/>
      <c r="K42" s="253">
        <v>101.87</v>
      </c>
    </row>
    <row r="43" spans="1:11">
      <c r="B43" s="258" t="s">
        <v>201</v>
      </c>
      <c r="C43" s="258" t="s">
        <v>6</v>
      </c>
      <c r="D43" s="258" t="s">
        <v>7</v>
      </c>
      <c r="E43" s="258" t="s">
        <v>295</v>
      </c>
      <c r="F43" s="258" t="s">
        <v>430</v>
      </c>
      <c r="G43" s="258" t="s">
        <v>298</v>
      </c>
      <c r="H43" s="258" t="s">
        <v>2</v>
      </c>
      <c r="I43" s="258" t="s">
        <v>424</v>
      </c>
      <c r="J43" s="258" t="s">
        <v>245</v>
      </c>
      <c r="K43" s="258" t="s">
        <v>431</v>
      </c>
    </row>
    <row r="44" spans="1:11">
      <c r="B44" s="259">
        <v>45601</v>
      </c>
      <c r="C44" s="253">
        <v>1.6</v>
      </c>
      <c r="D44" s="253">
        <v>1.66</v>
      </c>
      <c r="E44" s="253">
        <v>102</v>
      </c>
      <c r="F44" s="253">
        <v>45611</v>
      </c>
      <c r="G44" s="253">
        <v>25.28</v>
      </c>
      <c r="H44" s="253">
        <v>41</v>
      </c>
      <c r="I44" s="253">
        <v>101.65</v>
      </c>
      <c r="J44" s="253">
        <v>-2.1596151958378214E-3</v>
      </c>
      <c r="K44" s="253">
        <v>-2.161950527619365E-3</v>
      </c>
    </row>
    <row r="45" spans="1:11">
      <c r="B45" s="259">
        <v>45602</v>
      </c>
      <c r="C45" s="253">
        <v>0.73</v>
      </c>
      <c r="D45" s="253">
        <v>0.91</v>
      </c>
      <c r="E45" s="253">
        <v>102</v>
      </c>
      <c r="F45" s="253">
        <v>45611</v>
      </c>
      <c r="G45" s="253">
        <v>17.977</v>
      </c>
      <c r="H45" s="253">
        <v>667</v>
      </c>
      <c r="I45" s="253">
        <v>100.73</v>
      </c>
      <c r="J45" s="253">
        <v>-9.0506640432858002E-3</v>
      </c>
      <c r="K45" s="253">
        <v>-9.0918701197659074E-3</v>
      </c>
    </row>
    <row r="46" spans="1:11">
      <c r="B46" s="259">
        <v>45603</v>
      </c>
      <c r="C46" s="253">
        <v>0.88</v>
      </c>
      <c r="D46" s="253">
        <v>1.5</v>
      </c>
      <c r="E46" s="253">
        <v>102</v>
      </c>
      <c r="F46" s="253">
        <v>45611</v>
      </c>
      <c r="G46" s="253">
        <v>23.81</v>
      </c>
      <c r="H46" s="253">
        <v>697</v>
      </c>
      <c r="I46" s="253">
        <v>101.17</v>
      </c>
      <c r="J46" s="253">
        <v>4.3681127767298492E-3</v>
      </c>
      <c r="K46" s="253">
        <v>4.3586002632092762E-3</v>
      </c>
    </row>
    <row r="47" spans="1:11">
      <c r="B47" s="259">
        <v>45604</v>
      </c>
      <c r="C47" s="253">
        <v>1.58</v>
      </c>
      <c r="D47" s="253">
        <v>2.14</v>
      </c>
      <c r="E47" s="253">
        <v>102</v>
      </c>
      <c r="F47" s="253">
        <v>45611</v>
      </c>
      <c r="G47" s="253">
        <v>21.46</v>
      </c>
      <c r="H47" s="253">
        <v>796</v>
      </c>
      <c r="I47" s="253">
        <v>102.92</v>
      </c>
      <c r="J47" s="253">
        <v>1.7297617870910349E-2</v>
      </c>
      <c r="K47" s="253">
        <v>1.7149717195744381E-2</v>
      </c>
    </row>
    <row r="48" spans="1:11">
      <c r="B48" s="259">
        <v>45605</v>
      </c>
      <c r="C48" s="253">
        <v>1.58</v>
      </c>
      <c r="D48" s="253">
        <v>2.14</v>
      </c>
      <c r="E48" s="253">
        <v>102</v>
      </c>
      <c r="F48" s="253">
        <v>45611</v>
      </c>
      <c r="G48" s="253">
        <v>21.46</v>
      </c>
      <c r="H48" s="253">
        <v>796</v>
      </c>
      <c r="I48" s="253">
        <v>102.92</v>
      </c>
      <c r="J48" s="253">
        <v>0</v>
      </c>
      <c r="K48" s="253">
        <v>0</v>
      </c>
    </row>
    <row r="49" spans="1:11">
      <c r="B49" s="259">
        <v>45606</v>
      </c>
      <c r="C49" s="253">
        <v>1.58</v>
      </c>
      <c r="D49" s="253">
        <v>2.14</v>
      </c>
      <c r="E49" s="253">
        <v>102</v>
      </c>
      <c r="F49" s="253">
        <v>45611</v>
      </c>
      <c r="G49" s="253">
        <v>21.46</v>
      </c>
      <c r="H49" s="253">
        <v>796</v>
      </c>
      <c r="I49" s="253">
        <v>102.92</v>
      </c>
      <c r="J49" s="253">
        <v>0</v>
      </c>
      <c r="K49" s="253">
        <v>0</v>
      </c>
    </row>
    <row r="50" spans="1:11">
      <c r="B50" s="259">
        <v>45607</v>
      </c>
      <c r="C50" s="253">
        <v>0.34</v>
      </c>
      <c r="D50" s="253">
        <v>0.56999999999999995</v>
      </c>
      <c r="E50" s="253">
        <v>102</v>
      </c>
      <c r="F50" s="253">
        <v>45611</v>
      </c>
      <c r="G50" s="253">
        <v>19.940000000000001</v>
      </c>
      <c r="H50" s="253">
        <v>715</v>
      </c>
      <c r="I50" s="253">
        <v>100.73</v>
      </c>
      <c r="J50" s="253">
        <v>-2.1278663039253767E-2</v>
      </c>
      <c r="K50" s="253">
        <v>-2.1508317458953617E-2</v>
      </c>
    </row>
    <row r="51" spans="1:11">
      <c r="B51" s="259">
        <v>45608</v>
      </c>
      <c r="C51" s="253">
        <v>0.08</v>
      </c>
      <c r="D51" s="253">
        <v>0.11</v>
      </c>
      <c r="E51" s="253">
        <v>102</v>
      </c>
      <c r="F51" s="253">
        <v>45611</v>
      </c>
      <c r="G51" s="253">
        <v>21.1</v>
      </c>
      <c r="H51" s="253">
        <v>997</v>
      </c>
      <c r="I51" s="253">
        <v>98.58</v>
      </c>
      <c r="J51" s="253">
        <v>-2.1344187431748294E-2</v>
      </c>
      <c r="K51" s="253">
        <v>-2.1575268677358067E-2</v>
      </c>
    </row>
    <row r="52" spans="1:11">
      <c r="B52" s="259">
        <v>45609</v>
      </c>
      <c r="C52" s="253">
        <v>0.03</v>
      </c>
      <c r="D52" s="253">
        <v>0.05</v>
      </c>
      <c r="E52" s="253">
        <v>102</v>
      </c>
      <c r="F52" s="253">
        <v>45611</v>
      </c>
      <c r="G52" s="253">
        <v>23.15</v>
      </c>
      <c r="H52" s="253">
        <v>174</v>
      </c>
      <c r="I52" s="253">
        <v>98.5</v>
      </c>
      <c r="J52" s="253">
        <v>-8.1152363562587027E-4</v>
      </c>
      <c r="K52" s="253">
        <v>-8.1185309918849376E-4</v>
      </c>
    </row>
    <row r="53" spans="1:11">
      <c r="B53" s="259">
        <v>45610</v>
      </c>
      <c r="C53" s="253">
        <v>0.01</v>
      </c>
      <c r="D53" s="253">
        <v>0.04</v>
      </c>
      <c r="E53" s="253">
        <v>102</v>
      </c>
      <c r="F53" s="253">
        <v>45611</v>
      </c>
      <c r="G53" s="253">
        <v>32.405000000000001</v>
      </c>
      <c r="H53" s="253">
        <v>779</v>
      </c>
      <c r="I53" s="253">
        <v>98.36</v>
      </c>
      <c r="J53" s="253">
        <v>-1.4213197969543206E-3</v>
      </c>
      <c r="K53" s="253">
        <v>-1.4223308300514341E-3</v>
      </c>
    </row>
    <row r="54" spans="1:11">
      <c r="B54" s="259">
        <v>45611</v>
      </c>
      <c r="C54" s="253">
        <v>0</v>
      </c>
      <c r="D54" s="253">
        <v>0.01</v>
      </c>
      <c r="E54" s="253">
        <v>102</v>
      </c>
      <c r="F54" s="253">
        <v>45611</v>
      </c>
      <c r="G54" s="253">
        <v>467.47399999999999</v>
      </c>
      <c r="H54" s="253">
        <v>19</v>
      </c>
      <c r="I54" s="253">
        <v>96.31</v>
      </c>
      <c r="J54" s="253">
        <v>-2.0841805612037384E-2</v>
      </c>
      <c r="K54" s="253">
        <v>-2.1062061775218882E-2</v>
      </c>
    </row>
    <row r="57" spans="1:11">
      <c r="A57" s="256" t="s">
        <v>1</v>
      </c>
    </row>
    <row r="58" spans="1:11">
      <c r="A58" s="257" t="s">
        <v>432</v>
      </c>
      <c r="B58" s="257" t="s">
        <v>433</v>
      </c>
    </row>
    <row r="59" spans="1:11">
      <c r="B59" s="260"/>
    </row>
    <row r="60" spans="1:11">
      <c r="B60" s="258" t="s">
        <v>32</v>
      </c>
      <c r="C60" s="258" t="s">
        <v>295</v>
      </c>
      <c r="D60" s="258" t="s">
        <v>34</v>
      </c>
      <c r="E60" s="258" t="s">
        <v>6</v>
      </c>
      <c r="F60" s="258" t="s">
        <v>7</v>
      </c>
      <c r="G60" s="258" t="s">
        <v>427</v>
      </c>
      <c r="H60" s="258" t="s">
        <v>428</v>
      </c>
      <c r="I60" s="258" t="s">
        <v>2</v>
      </c>
      <c r="J60" s="258" t="s">
        <v>429</v>
      </c>
      <c r="K60" s="258" t="s">
        <v>35</v>
      </c>
    </row>
    <row r="61" spans="1:11">
      <c r="B61" s="253" t="s">
        <v>434</v>
      </c>
      <c r="C61" s="253">
        <v>102</v>
      </c>
      <c r="D61" s="253">
        <v>2.02</v>
      </c>
      <c r="E61" s="253">
        <v>1.9699</v>
      </c>
      <c r="F61" s="253">
        <v>2.06</v>
      </c>
      <c r="G61" s="253">
        <v>0.38</v>
      </c>
      <c r="H61" s="253">
        <v>0.18905</v>
      </c>
      <c r="I61" s="253">
        <v>65</v>
      </c>
      <c r="J61" s="253">
        <v>404</v>
      </c>
      <c r="K61" s="253">
        <v>2.8999999999999998E-3</v>
      </c>
    </row>
    <row r="62" spans="1:11">
      <c r="B62" s="253"/>
      <c r="C62" s="253"/>
      <c r="D62" s="253"/>
      <c r="E62" s="253"/>
      <c r="F62" s="253"/>
      <c r="G62" s="253"/>
      <c r="H62" s="253"/>
      <c r="I62" s="253"/>
      <c r="J62" s="253"/>
      <c r="K62" s="253">
        <v>101.87</v>
      </c>
    </row>
    <row r="63" spans="1:11">
      <c r="B63" s="258" t="s">
        <v>201</v>
      </c>
      <c r="C63" s="258" t="s">
        <v>6</v>
      </c>
      <c r="D63" s="258" t="s">
        <v>7</v>
      </c>
      <c r="E63" s="258" t="s">
        <v>295</v>
      </c>
      <c r="F63" s="258" t="s">
        <v>430</v>
      </c>
      <c r="G63" s="258" t="s">
        <v>298</v>
      </c>
      <c r="H63" s="258" t="s">
        <v>2</v>
      </c>
      <c r="I63" s="258" t="s">
        <v>424</v>
      </c>
      <c r="J63" s="258" t="s">
        <v>245</v>
      </c>
      <c r="K63" s="258" t="s">
        <v>431</v>
      </c>
    </row>
    <row r="64" spans="1:11">
      <c r="B64" s="259">
        <v>45601</v>
      </c>
      <c r="C64" s="253">
        <v>1.9699</v>
      </c>
      <c r="D64" s="253">
        <v>2.06</v>
      </c>
      <c r="E64" s="253">
        <v>102</v>
      </c>
      <c r="F64" s="253">
        <v>45611</v>
      </c>
      <c r="G64" s="253">
        <v>24.818000000000001</v>
      </c>
      <c r="H64" s="253">
        <v>65</v>
      </c>
      <c r="I64" s="253">
        <v>101.65</v>
      </c>
      <c r="J64" s="253">
        <v>-2.1596151958378214E-3</v>
      </c>
      <c r="K64" s="253">
        <v>-2.161950527619365E-3</v>
      </c>
    </row>
    <row r="65" spans="2:11">
      <c r="B65" s="259">
        <v>45602</v>
      </c>
      <c r="C65" s="253">
        <v>1.76</v>
      </c>
      <c r="D65" s="253">
        <v>1.899</v>
      </c>
      <c r="E65" s="253">
        <v>102</v>
      </c>
      <c r="F65" s="253">
        <v>45611</v>
      </c>
      <c r="G65" s="253">
        <v>19.68</v>
      </c>
      <c r="H65" s="253">
        <v>121</v>
      </c>
      <c r="I65" s="253">
        <v>100.73</v>
      </c>
      <c r="J65" s="253">
        <v>-9.0506640432858002E-3</v>
      </c>
      <c r="K65" s="253">
        <v>-9.0918701197659074E-3</v>
      </c>
    </row>
    <row r="66" spans="2:11">
      <c r="B66" s="259">
        <v>45603</v>
      </c>
      <c r="C66" s="253">
        <v>1.44</v>
      </c>
      <c r="D66" s="253">
        <v>1.899</v>
      </c>
      <c r="E66" s="253">
        <v>102</v>
      </c>
      <c r="F66" s="253">
        <v>45611</v>
      </c>
      <c r="G66" s="253">
        <v>21.03</v>
      </c>
      <c r="H66" s="253">
        <v>180</v>
      </c>
      <c r="I66" s="253">
        <v>101.17</v>
      </c>
      <c r="J66" s="253">
        <v>4.3681127767298492E-3</v>
      </c>
      <c r="K66" s="253">
        <v>4.3586002632092762E-3</v>
      </c>
    </row>
    <row r="67" spans="2:11">
      <c r="B67" s="259">
        <v>45604</v>
      </c>
      <c r="C67" s="253">
        <v>0.57989999999999997</v>
      </c>
      <c r="D67" s="253">
        <v>0.68</v>
      </c>
      <c r="E67" s="253">
        <v>102</v>
      </c>
      <c r="F67" s="253">
        <v>45611</v>
      </c>
      <c r="G67" s="253">
        <v>18.263000000000002</v>
      </c>
      <c r="H67" s="253">
        <v>331</v>
      </c>
      <c r="I67" s="253">
        <v>102.92</v>
      </c>
      <c r="J67" s="253">
        <v>1.7297617870910349E-2</v>
      </c>
      <c r="K67" s="253">
        <v>1.7149717195744381E-2</v>
      </c>
    </row>
    <row r="68" spans="2:11">
      <c r="B68" s="259">
        <v>45605</v>
      </c>
      <c r="C68" s="253">
        <v>0.57989999999999997</v>
      </c>
      <c r="D68" s="253">
        <v>0.68</v>
      </c>
      <c r="E68" s="253">
        <v>102</v>
      </c>
      <c r="F68" s="253">
        <v>45611</v>
      </c>
      <c r="G68" s="253">
        <v>18.263000000000002</v>
      </c>
      <c r="H68" s="253">
        <v>331</v>
      </c>
      <c r="I68" s="253">
        <v>102.92</v>
      </c>
      <c r="J68" s="253">
        <v>0</v>
      </c>
      <c r="K68" s="253">
        <v>0</v>
      </c>
    </row>
    <row r="69" spans="2:11">
      <c r="B69" s="259">
        <v>45606</v>
      </c>
      <c r="C69" s="253">
        <v>0.57989999999999997</v>
      </c>
      <c r="D69" s="253">
        <v>0.68</v>
      </c>
      <c r="E69" s="253">
        <v>102</v>
      </c>
      <c r="F69" s="253">
        <v>45611</v>
      </c>
      <c r="G69" s="253">
        <v>18.263000000000002</v>
      </c>
      <c r="H69" s="253">
        <v>331</v>
      </c>
      <c r="I69" s="253">
        <v>102.92</v>
      </c>
      <c r="J69" s="253">
        <v>0</v>
      </c>
      <c r="K69" s="253">
        <v>0</v>
      </c>
    </row>
    <row r="70" spans="2:11">
      <c r="B70" s="259">
        <v>45607</v>
      </c>
      <c r="C70" s="253">
        <v>1.6099000000000001</v>
      </c>
      <c r="D70" s="253">
        <v>1.899</v>
      </c>
      <c r="E70" s="253">
        <v>102</v>
      </c>
      <c r="F70" s="253">
        <v>45611</v>
      </c>
      <c r="G70" s="253">
        <v>16.535</v>
      </c>
      <c r="H70" s="253">
        <v>77</v>
      </c>
      <c r="I70" s="253">
        <v>100.73</v>
      </c>
      <c r="J70" s="253">
        <v>-2.1278663039253767E-2</v>
      </c>
      <c r="K70" s="253">
        <v>-2.1508317458953617E-2</v>
      </c>
    </row>
    <row r="71" spans="2:11">
      <c r="B71" s="259">
        <v>45608</v>
      </c>
      <c r="C71" s="253">
        <v>2.88</v>
      </c>
      <c r="D71" s="253">
        <v>3.25</v>
      </c>
      <c r="E71" s="253">
        <v>102</v>
      </c>
      <c r="F71" s="253">
        <v>45611</v>
      </c>
      <c r="G71" s="253">
        <v>0</v>
      </c>
      <c r="H71" s="253">
        <v>46</v>
      </c>
      <c r="I71" s="253">
        <v>98.58</v>
      </c>
      <c r="J71" s="253">
        <v>-2.1344187431748294E-2</v>
      </c>
      <c r="K71" s="253">
        <v>-2.1575268677358067E-2</v>
      </c>
    </row>
    <row r="72" spans="2:11">
      <c r="B72" s="259">
        <v>45609</v>
      </c>
      <c r="C72" s="253">
        <v>3.4</v>
      </c>
      <c r="D72" s="253">
        <v>3.6</v>
      </c>
      <c r="E72" s="253">
        <v>102</v>
      </c>
      <c r="F72" s="253">
        <v>45611</v>
      </c>
      <c r="G72" s="253">
        <v>16.806999999999999</v>
      </c>
      <c r="H72" s="253">
        <v>43</v>
      </c>
      <c r="I72" s="253">
        <v>98.5</v>
      </c>
      <c r="J72" s="253">
        <v>-8.1152363562587027E-4</v>
      </c>
      <c r="K72" s="253">
        <v>-8.1185309918849376E-4</v>
      </c>
    </row>
    <row r="73" spans="2:11">
      <c r="B73" s="259">
        <v>45610</v>
      </c>
      <c r="C73" s="253">
        <v>2.96</v>
      </c>
      <c r="D73" s="253">
        <v>4.05</v>
      </c>
      <c r="E73" s="253">
        <v>102</v>
      </c>
      <c r="F73" s="253">
        <v>45611</v>
      </c>
      <c r="G73" s="253">
        <v>0</v>
      </c>
      <c r="H73" s="253">
        <v>26</v>
      </c>
      <c r="I73" s="253">
        <v>98.36</v>
      </c>
      <c r="J73" s="253">
        <v>-1.4213197969543206E-3</v>
      </c>
      <c r="K73" s="253">
        <v>-1.4223308300514341E-3</v>
      </c>
    </row>
    <row r="74" spans="2:11">
      <c r="B74" s="259">
        <v>45611</v>
      </c>
      <c r="C74" s="253">
        <v>5.55</v>
      </c>
      <c r="D74" s="253">
        <v>6.899</v>
      </c>
      <c r="E74" s="253">
        <v>102</v>
      </c>
      <c r="F74" s="253">
        <v>45611</v>
      </c>
      <c r="G74" s="253">
        <v>1095.5488</v>
      </c>
      <c r="H74" s="253">
        <v>27</v>
      </c>
      <c r="I74" s="253">
        <v>96.31</v>
      </c>
      <c r="J74" s="253">
        <v>-2.0841805612037384E-2</v>
      </c>
      <c r="K74" s="253">
        <v>-2.1062061775218882E-2</v>
      </c>
    </row>
  </sheetData>
  <autoFilter ref="A4:N19" xr:uid="{00000000-0001-0000-0000-000000000000}"/>
  <mergeCells count="3">
    <mergeCell ref="A3:G3"/>
    <mergeCell ref="A1:N1"/>
    <mergeCell ref="H3:N3"/>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29D99-9B26-4EDE-B985-A3C5688AB144}">
  <dimension ref="A1:F32"/>
  <sheetViews>
    <sheetView showGridLines="0" topLeftCell="A12" zoomScaleNormal="100" workbookViewId="0">
      <selection activeCell="E30" sqref="E30"/>
    </sheetView>
  </sheetViews>
  <sheetFormatPr defaultColWidth="8.7109375" defaultRowHeight="13.9"/>
  <cols>
    <col min="1" max="1" width="11" style="196" bestFit="1" customWidth="1"/>
    <col min="2" max="2" width="11.140625" style="196" bestFit="1" customWidth="1"/>
    <col min="3" max="3" width="11.140625" style="196" customWidth="1"/>
    <col min="4" max="4" width="14.28515625" style="196" bestFit="1" customWidth="1"/>
    <col min="5" max="5" width="18.28515625" style="196" bestFit="1" customWidth="1"/>
    <col min="6" max="6" width="28.7109375" style="196" bestFit="1" customWidth="1"/>
    <col min="7" max="16384" width="8.7109375" style="196"/>
  </cols>
  <sheetData>
    <row r="1" spans="1:6">
      <c r="A1" s="213" t="s">
        <v>223</v>
      </c>
      <c r="B1" s="213" t="s">
        <v>244</v>
      </c>
      <c r="C1" s="213" t="s">
        <v>245</v>
      </c>
      <c r="D1" s="213" t="s">
        <v>246</v>
      </c>
      <c r="E1" s="213" t="s">
        <v>247</v>
      </c>
      <c r="F1" s="213" t="s">
        <v>265</v>
      </c>
    </row>
    <row r="2" spans="1:6">
      <c r="A2" s="199">
        <v>45569</v>
      </c>
      <c r="B2" s="197">
        <v>109.77</v>
      </c>
      <c r="C2" s="197">
        <f t="shared" ref="C2:C31" si="0">(A3-A2)/B3</f>
        <v>2.7626853301408967E-2</v>
      </c>
      <c r="D2" s="198"/>
      <c r="E2" s="198"/>
      <c r="F2" s="198"/>
    </row>
    <row r="3" spans="1:6">
      <c r="A3" s="199">
        <v>45572</v>
      </c>
      <c r="B3" s="197">
        <v>108.59</v>
      </c>
      <c r="C3" s="197">
        <f t="shared" si="0"/>
        <v>9.2148912642830826E-3</v>
      </c>
      <c r="D3" s="198">
        <f t="shared" ref="D3:D32" si="1">LN(B3/B2)</f>
        <v>-1.0807945470415938E-2</v>
      </c>
      <c r="E3" s="198"/>
      <c r="F3" s="198"/>
    </row>
    <row r="4" spans="1:6">
      <c r="A4" s="199">
        <v>45573</v>
      </c>
      <c r="B4" s="197">
        <v>108.52</v>
      </c>
      <c r="C4" s="197">
        <f t="shared" si="0"/>
        <v>9.0686496780629372E-3</v>
      </c>
      <c r="D4" s="198">
        <f t="shared" si="1"/>
        <v>-6.4483443807811453E-4</v>
      </c>
      <c r="E4" s="198"/>
      <c r="F4" s="198"/>
    </row>
    <row r="5" spans="1:6">
      <c r="A5" s="199">
        <v>45574</v>
      </c>
      <c r="B5" s="197">
        <v>110.27</v>
      </c>
      <c r="C5" s="197">
        <f t="shared" si="0"/>
        <v>9.140767824497258E-3</v>
      </c>
      <c r="D5" s="198">
        <f t="shared" si="1"/>
        <v>1.5997415979856214E-2</v>
      </c>
      <c r="E5" s="198"/>
      <c r="F5" s="198"/>
    </row>
    <row r="6" spans="1:6">
      <c r="A6" s="199">
        <v>45575</v>
      </c>
      <c r="B6" s="197">
        <v>109.4</v>
      </c>
      <c r="C6" s="197">
        <f t="shared" si="0"/>
        <v>9.1132780461131869E-3</v>
      </c>
      <c r="D6" s="198">
        <f t="shared" si="1"/>
        <v>-7.9210137827062516E-3</v>
      </c>
      <c r="E6" s="198"/>
      <c r="F6" s="198"/>
    </row>
    <row r="7" spans="1:6">
      <c r="A7" s="199">
        <v>45576</v>
      </c>
      <c r="B7" s="197">
        <v>109.73</v>
      </c>
      <c r="C7" s="197">
        <f t="shared" si="0"/>
        <v>2.7349803993071384E-2</v>
      </c>
      <c r="D7" s="198">
        <f t="shared" si="1"/>
        <v>3.0119130148268405E-3</v>
      </c>
      <c r="E7" s="198"/>
      <c r="F7" s="198"/>
    </row>
    <row r="8" spans="1:6">
      <c r="A8" s="199">
        <v>45579</v>
      </c>
      <c r="B8" s="197">
        <v>109.69</v>
      </c>
      <c r="C8" s="197">
        <f t="shared" si="0"/>
        <v>8.9661974356675337E-3</v>
      </c>
      <c r="D8" s="198">
        <f t="shared" si="1"/>
        <v>-3.6459757946500368E-4</v>
      </c>
      <c r="E8" s="198"/>
      <c r="F8" s="198"/>
    </row>
    <row r="9" spans="1:6">
      <c r="A9" s="199">
        <v>45580</v>
      </c>
      <c r="B9" s="197">
        <v>111.53</v>
      </c>
      <c r="C9" s="197">
        <f t="shared" si="0"/>
        <v>9.056330374932078E-3</v>
      </c>
      <c r="D9" s="198">
        <f t="shared" si="1"/>
        <v>1.6635407583202821E-2</v>
      </c>
      <c r="E9" s="198"/>
      <c r="F9" s="198"/>
    </row>
    <row r="10" spans="1:6">
      <c r="A10" s="199">
        <v>45581</v>
      </c>
      <c r="B10" s="197">
        <v>110.42</v>
      </c>
      <c r="C10" s="197">
        <f t="shared" si="0"/>
        <v>9.1116173120728925E-3</v>
      </c>
      <c r="D10" s="198">
        <f t="shared" si="1"/>
        <v>-1.0002336150547016E-2</v>
      </c>
      <c r="E10" s="198"/>
      <c r="F10" s="198"/>
    </row>
    <row r="11" spans="1:6">
      <c r="A11" s="199">
        <v>45582</v>
      </c>
      <c r="B11" s="197">
        <v>109.75</v>
      </c>
      <c r="C11" s="197">
        <f t="shared" si="0"/>
        <v>9.1996320147194107E-3</v>
      </c>
      <c r="D11" s="198">
        <f t="shared" si="1"/>
        <v>-6.0862249006177959E-3</v>
      </c>
      <c r="E11" s="198"/>
      <c r="F11" s="198"/>
    </row>
    <row r="12" spans="1:6">
      <c r="A12" s="199">
        <v>45583</v>
      </c>
      <c r="B12" s="197">
        <v>108.7</v>
      </c>
      <c r="C12" s="197">
        <f t="shared" si="0"/>
        <v>2.8211397404551437E-2</v>
      </c>
      <c r="D12" s="198">
        <f t="shared" si="1"/>
        <v>-9.6132578281169171E-3</v>
      </c>
      <c r="E12" s="198"/>
      <c r="F12" s="198"/>
    </row>
    <row r="13" spans="1:6">
      <c r="A13" s="199">
        <v>45586</v>
      </c>
      <c r="B13" s="197">
        <v>106.34</v>
      </c>
      <c r="C13" s="197">
        <f t="shared" si="0"/>
        <v>9.377344336084021E-3</v>
      </c>
      <c r="D13" s="198">
        <f t="shared" si="1"/>
        <v>-2.1950286050971331E-2</v>
      </c>
      <c r="E13" s="198"/>
      <c r="F13" s="198"/>
    </row>
    <row r="14" spans="1:6">
      <c r="A14" s="199">
        <v>45587</v>
      </c>
      <c r="B14" s="197">
        <v>106.64</v>
      </c>
      <c r="C14" s="197">
        <f t="shared" si="0"/>
        <v>9.4002632073698061E-3</v>
      </c>
      <c r="D14" s="198">
        <f t="shared" si="1"/>
        <v>2.8171677942608322E-3</v>
      </c>
      <c r="E14" s="198"/>
      <c r="F14" s="198"/>
    </row>
    <row r="15" spans="1:6">
      <c r="A15" s="199">
        <v>45588</v>
      </c>
      <c r="B15" s="197">
        <v>106.38</v>
      </c>
      <c r="C15" s="197">
        <f t="shared" si="0"/>
        <v>9.4446543256516812E-3</v>
      </c>
      <c r="D15" s="198">
        <f t="shared" si="1"/>
        <v>-2.4410865562817441E-3</v>
      </c>
      <c r="E15" s="198"/>
      <c r="F15" s="198"/>
    </row>
    <row r="16" spans="1:6">
      <c r="A16" s="199">
        <v>45589</v>
      </c>
      <c r="B16" s="197">
        <v>105.88</v>
      </c>
      <c r="C16" s="197">
        <f t="shared" si="0"/>
        <v>9.6172340834775917E-3</v>
      </c>
      <c r="D16" s="198">
        <f t="shared" si="1"/>
        <v>-4.7112119552709759E-3</v>
      </c>
      <c r="E16" s="198"/>
      <c r="F16" s="198"/>
    </row>
    <row r="17" spans="1:6">
      <c r="A17" s="199">
        <v>45590</v>
      </c>
      <c r="B17" s="197">
        <v>103.98</v>
      </c>
      <c r="C17" s="197">
        <f t="shared" si="0"/>
        <v>2.8782500239854167E-2</v>
      </c>
      <c r="D17" s="198">
        <f t="shared" si="1"/>
        <v>-1.8107804403330739E-2</v>
      </c>
      <c r="E17" s="198"/>
      <c r="F17" s="198"/>
    </row>
    <row r="18" spans="1:6">
      <c r="A18" s="199">
        <v>45593</v>
      </c>
      <c r="B18" s="197">
        <v>104.23</v>
      </c>
      <c r="C18" s="197">
        <f t="shared" si="0"/>
        <v>9.6404126096596935E-3</v>
      </c>
      <c r="D18" s="198">
        <f t="shared" si="1"/>
        <v>2.4014227956611809E-3</v>
      </c>
      <c r="E18" s="198"/>
      <c r="F18" s="198"/>
    </row>
    <row r="19" spans="1:6">
      <c r="A19" s="199">
        <v>45594</v>
      </c>
      <c r="B19" s="197">
        <v>103.73</v>
      </c>
      <c r="C19" s="197">
        <f t="shared" si="0"/>
        <v>9.5392540303348271E-3</v>
      </c>
      <c r="D19" s="198">
        <f t="shared" si="1"/>
        <v>-4.8086263074941975E-3</v>
      </c>
      <c r="E19" s="198"/>
      <c r="F19" s="198"/>
    </row>
    <row r="20" spans="1:6">
      <c r="A20" s="199">
        <v>45595</v>
      </c>
      <c r="B20" s="197">
        <v>104.83</v>
      </c>
      <c r="C20" s="197">
        <f t="shared" si="0"/>
        <v>9.7732603596559827E-3</v>
      </c>
      <c r="D20" s="198">
        <f t="shared" si="1"/>
        <v>1.0548621020744541E-2</v>
      </c>
      <c r="E20" s="198"/>
      <c r="F20" s="198"/>
    </row>
    <row r="21" spans="1:6">
      <c r="A21" s="199">
        <v>45596</v>
      </c>
      <c r="B21" s="197">
        <v>102.32</v>
      </c>
      <c r="C21" s="197">
        <f t="shared" si="0"/>
        <v>9.8154691794267775E-3</v>
      </c>
      <c r="D21" s="198">
        <f t="shared" si="1"/>
        <v>-2.4234833193894113E-2</v>
      </c>
      <c r="E21" s="198"/>
      <c r="F21" s="198"/>
    </row>
    <row r="22" spans="1:6">
      <c r="A22" s="199">
        <v>45597</v>
      </c>
      <c r="B22" s="197">
        <v>101.88</v>
      </c>
      <c r="C22" s="197">
        <f t="shared" si="0"/>
        <v>2.9449298125061352E-2</v>
      </c>
      <c r="D22" s="198">
        <f t="shared" si="1"/>
        <v>-4.3095071593309327E-3</v>
      </c>
      <c r="E22" s="198"/>
      <c r="F22" s="198"/>
    </row>
    <row r="23" spans="1:6">
      <c r="A23" s="199">
        <v>45600</v>
      </c>
      <c r="B23" s="197">
        <v>101.87</v>
      </c>
      <c r="C23" s="197">
        <f t="shared" si="0"/>
        <v>9.8376783079193297E-3</v>
      </c>
      <c r="D23" s="198">
        <f t="shared" si="1"/>
        <v>-9.8159509281196933E-5</v>
      </c>
      <c r="E23" s="198"/>
      <c r="F23" s="198"/>
    </row>
    <row r="24" spans="1:6">
      <c r="A24" s="199">
        <v>45601</v>
      </c>
      <c r="B24" s="197">
        <v>101.65</v>
      </c>
      <c r="C24" s="197">
        <f t="shared" si="0"/>
        <v>9.9275290380224351E-3</v>
      </c>
      <c r="D24" s="198">
        <f t="shared" si="1"/>
        <v>-2.161950527619365E-3</v>
      </c>
      <c r="E24" s="198">
        <f>_xlfn.STDEV.P(D2:D23)</f>
        <v>1.0414176684675891E-2</v>
      </c>
      <c r="F24" s="198">
        <f>E24*SQRT(252)</f>
        <v>0.16531992970283718</v>
      </c>
    </row>
    <row r="25" spans="1:6">
      <c r="A25" s="199">
        <v>45602</v>
      </c>
      <c r="B25" s="200">
        <v>100.73</v>
      </c>
      <c r="C25" s="197">
        <f t="shared" si="0"/>
        <v>9.8843530690916285E-3</v>
      </c>
      <c r="D25" s="198">
        <f t="shared" si="1"/>
        <v>-9.0918701197659074E-3</v>
      </c>
      <c r="E25" s="198">
        <f t="shared" ref="E25:E32" si="2">_xlfn.STDEV.P(D3:D24)</f>
        <v>1.0178884966555416E-2</v>
      </c>
      <c r="F25" s="198">
        <f>E25*SQRT(252)</f>
        <v>0.16158478947263788</v>
      </c>
    </row>
    <row r="26" spans="1:6">
      <c r="A26" s="199">
        <v>45603</v>
      </c>
      <c r="B26" s="200">
        <v>101.17</v>
      </c>
      <c r="C26" s="197">
        <f t="shared" si="0"/>
        <v>9.7162844928099495E-3</v>
      </c>
      <c r="D26" s="198">
        <f t="shared" si="1"/>
        <v>4.3586002632092762E-3</v>
      </c>
      <c r="E26" s="198">
        <f t="shared" si="2"/>
        <v>1.0128984815748714E-2</v>
      </c>
      <c r="F26" s="198">
        <f t="shared" ref="F26:F32" si="3">E26*SQRT(252)</f>
        <v>0.16079264913612296</v>
      </c>
    </row>
    <row r="27" spans="1:6">
      <c r="A27" s="199">
        <v>45604</v>
      </c>
      <c r="B27" s="200">
        <v>102.92</v>
      </c>
      <c r="C27" s="197">
        <f t="shared" si="0"/>
        <v>2.9782587114067307E-2</v>
      </c>
      <c r="D27" s="198">
        <f t="shared" si="1"/>
        <v>1.7149717195744381E-2</v>
      </c>
      <c r="E27" s="198">
        <f t="shared" si="2"/>
        <v>1.0244153596831352E-2</v>
      </c>
      <c r="F27" s="198">
        <f>E27*SQRT(252)</f>
        <v>0.16262089685738157</v>
      </c>
    </row>
    <row r="28" spans="1:6">
      <c r="A28" s="199">
        <v>45607</v>
      </c>
      <c r="B28" s="201">
        <v>100.73</v>
      </c>
      <c r="C28" s="197">
        <f t="shared" si="0"/>
        <v>1.0144045445323595E-2</v>
      </c>
      <c r="D28" s="198">
        <f t="shared" si="1"/>
        <v>-2.1508317458953617E-2</v>
      </c>
      <c r="E28" s="198">
        <f t="shared" si="2"/>
        <v>1.0344565608588834E-2</v>
      </c>
      <c r="F28" s="198">
        <f t="shared" si="3"/>
        <v>0.1642148881279055</v>
      </c>
    </row>
    <row r="29" spans="1:6">
      <c r="A29" s="199">
        <v>45608</v>
      </c>
      <c r="B29" s="201">
        <v>98.58</v>
      </c>
      <c r="C29" s="197">
        <f t="shared" si="0"/>
        <v>1.015228426395939E-2</v>
      </c>
      <c r="D29" s="198">
        <f t="shared" si="1"/>
        <v>-2.1575268677358067E-2</v>
      </c>
      <c r="E29" s="198">
        <f t="shared" si="2"/>
        <v>1.099687943924618E-2</v>
      </c>
      <c r="F29" s="198">
        <f t="shared" si="3"/>
        <v>0.17457004916402893</v>
      </c>
    </row>
    <row r="30" spans="1:6">
      <c r="A30" s="199">
        <v>45609</v>
      </c>
      <c r="B30" s="201">
        <v>98.5</v>
      </c>
      <c r="C30" s="197">
        <f t="shared" si="0"/>
        <v>1.0166734444896299E-2</v>
      </c>
      <c r="D30" s="198">
        <f t="shared" si="1"/>
        <v>-8.1185309918849376E-4</v>
      </c>
      <c r="E30" s="198">
        <f t="shared" si="2"/>
        <v>1.1490861457388918E-2</v>
      </c>
      <c r="F30" s="198">
        <f t="shared" si="3"/>
        <v>0.18241177059688982</v>
      </c>
    </row>
    <row r="31" spans="1:6">
      <c r="A31" s="199">
        <v>45610</v>
      </c>
      <c r="B31" s="201">
        <v>98.36</v>
      </c>
      <c r="C31" s="197">
        <f t="shared" si="0"/>
        <v>1.0383137784238397E-2</v>
      </c>
      <c r="D31" s="198">
        <f t="shared" si="1"/>
        <v>-1.4223308300514341E-3</v>
      </c>
      <c r="E31" s="198">
        <f t="shared" si="2"/>
        <v>1.1483264427060826E-2</v>
      </c>
      <c r="F31" s="198">
        <f t="shared" si="3"/>
        <v>0.18229117147918533</v>
      </c>
    </row>
    <row r="32" spans="1:6">
      <c r="A32" s="199">
        <v>45611</v>
      </c>
      <c r="B32" s="201">
        <v>96.31</v>
      </c>
      <c r="C32" s="197">
        <v>0</v>
      </c>
      <c r="D32" s="198">
        <f t="shared" si="1"/>
        <v>-2.1062061775218882E-2</v>
      </c>
      <c r="E32" s="198">
        <f t="shared" si="2"/>
        <v>1.0520244686020891E-2</v>
      </c>
      <c r="F32" s="198">
        <f t="shared" si="3"/>
        <v>0.16700370702456038</v>
      </c>
    </row>
  </sheetData>
  <sortState xmlns:xlrd2="http://schemas.microsoft.com/office/spreadsheetml/2017/richdata2" ref="A2:F32">
    <sortCondition ref="A1:A32"/>
  </sortState>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66CCB-22B6-4BAC-8237-94AB6F0BECD7}">
  <dimension ref="A3:AG63"/>
  <sheetViews>
    <sheetView showGridLines="0" topLeftCell="A39" zoomScale="71" workbookViewId="0">
      <selection sqref="A1:XFD1"/>
    </sheetView>
  </sheetViews>
  <sheetFormatPr defaultColWidth="8.85546875" defaultRowHeight="13.9"/>
  <cols>
    <col min="1" max="1" width="5.5703125" style="1" bestFit="1" customWidth="1"/>
    <col min="2" max="2" width="23.85546875" style="1" bestFit="1" customWidth="1"/>
    <col min="3" max="3" width="20.5703125" style="1" bestFit="1" customWidth="1"/>
    <col min="4" max="7" width="8.85546875" style="1"/>
    <col min="8" max="8" width="14" style="1" bestFit="1" customWidth="1"/>
    <col min="9" max="9" width="21.7109375" style="1" bestFit="1" customWidth="1"/>
    <col min="10" max="10" width="8.85546875" style="1"/>
    <col min="11" max="11" width="11.7109375" style="1" bestFit="1" customWidth="1"/>
    <col min="12" max="12" width="14.7109375" style="1" bestFit="1" customWidth="1"/>
    <col min="13" max="13" width="11.7109375" style="1" bestFit="1" customWidth="1"/>
    <col min="14" max="14" width="11.28515625" style="1" bestFit="1" customWidth="1"/>
    <col min="15" max="17" width="8.85546875" style="1"/>
    <col min="18" max="18" width="5.5703125" style="1" bestFit="1" customWidth="1"/>
    <col min="19" max="19" width="23.7109375" style="1" bestFit="1" customWidth="1"/>
    <col min="20" max="20" width="20.5703125" style="1" bestFit="1" customWidth="1"/>
    <col min="21" max="25" width="8.85546875" style="1"/>
    <col min="26" max="26" width="13.85546875" style="1" bestFit="1" customWidth="1"/>
    <col min="27" max="27" width="7.28515625" style="1" bestFit="1" customWidth="1"/>
    <col min="28" max="28" width="11.7109375" style="1" bestFit="1" customWidth="1"/>
    <col min="29" max="29" width="14.7109375" style="1" bestFit="1" customWidth="1"/>
    <col min="30" max="30" width="8.85546875" style="1"/>
    <col min="31" max="31" width="11.28515625" style="1" bestFit="1" customWidth="1"/>
    <col min="32" max="32" width="8.28515625" style="1" bestFit="1" customWidth="1"/>
    <col min="33" max="36" width="8.85546875" style="1"/>
    <col min="37" max="37" width="20.5703125" style="1" bestFit="1" customWidth="1"/>
    <col min="38" max="16384" width="8.85546875" style="1"/>
  </cols>
  <sheetData>
    <row r="3" spans="1:33">
      <c r="A3" s="2" t="s">
        <v>435</v>
      </c>
    </row>
    <row r="4" spans="1:33" ht="15.6">
      <c r="A4" s="447" t="s">
        <v>436</v>
      </c>
      <c r="B4" s="447"/>
      <c r="C4" s="447"/>
      <c r="D4" s="447"/>
      <c r="E4" s="447"/>
      <c r="F4" s="447"/>
      <c r="G4" s="447"/>
      <c r="H4" s="447"/>
      <c r="I4" s="447"/>
      <c r="J4" s="447"/>
      <c r="K4" s="447"/>
      <c r="L4" s="447"/>
      <c r="M4" s="447"/>
      <c r="N4" s="447"/>
      <c r="O4" s="447"/>
      <c r="P4" s="447"/>
      <c r="R4" s="447" t="s">
        <v>437</v>
      </c>
      <c r="S4" s="447"/>
      <c r="T4" s="447"/>
      <c r="U4" s="447"/>
      <c r="V4" s="447"/>
      <c r="W4" s="447"/>
      <c r="X4" s="447"/>
      <c r="Y4" s="447"/>
      <c r="Z4" s="447"/>
      <c r="AA4" s="447"/>
      <c r="AB4" s="447"/>
      <c r="AC4" s="447"/>
      <c r="AD4" s="447"/>
      <c r="AE4" s="447"/>
      <c r="AF4" s="447"/>
      <c r="AG4" s="447"/>
    </row>
    <row r="5" spans="1:33">
      <c r="A5" s="3" t="s">
        <v>438</v>
      </c>
      <c r="B5" s="3" t="s">
        <v>439</v>
      </c>
      <c r="C5" s="3" t="s">
        <v>440</v>
      </c>
      <c r="D5" s="3" t="s">
        <v>441</v>
      </c>
      <c r="E5" s="3" t="s">
        <v>442</v>
      </c>
      <c r="F5" s="3" t="s">
        <v>443</v>
      </c>
      <c r="G5" s="3" t="s">
        <v>444</v>
      </c>
      <c r="H5" s="3" t="s">
        <v>445</v>
      </c>
      <c r="I5" s="3" t="s">
        <v>446</v>
      </c>
      <c r="J5" s="3" t="s">
        <v>447</v>
      </c>
      <c r="K5" s="3" t="s">
        <v>448</v>
      </c>
      <c r="L5" s="3" t="s">
        <v>449</v>
      </c>
      <c r="M5" s="3" t="s">
        <v>450</v>
      </c>
      <c r="N5" s="3" t="s">
        <v>451</v>
      </c>
      <c r="O5" s="3" t="s">
        <v>452</v>
      </c>
      <c r="P5" s="3" t="s">
        <v>453</v>
      </c>
      <c r="R5" s="3" t="s">
        <v>438</v>
      </c>
      <c r="S5" s="3" t="s">
        <v>439</v>
      </c>
      <c r="T5" s="3" t="s">
        <v>440</v>
      </c>
      <c r="U5" s="3" t="s">
        <v>441</v>
      </c>
      <c r="V5" s="3" t="s">
        <v>442</v>
      </c>
      <c r="W5" s="3" t="s">
        <v>443</v>
      </c>
      <c r="X5" s="3" t="s">
        <v>444</v>
      </c>
      <c r="Y5" s="3" t="s">
        <v>445</v>
      </c>
      <c r="Z5" s="3" t="s">
        <v>446</v>
      </c>
      <c r="AA5" s="3" t="s">
        <v>447</v>
      </c>
      <c r="AB5" s="3" t="s">
        <v>448</v>
      </c>
      <c r="AC5" s="3" t="s">
        <v>449</v>
      </c>
      <c r="AD5" s="3" t="s">
        <v>450</v>
      </c>
      <c r="AE5" s="3" t="s">
        <v>451</v>
      </c>
      <c r="AF5" s="3" t="s">
        <v>452</v>
      </c>
      <c r="AG5" s="3" t="s">
        <v>453</v>
      </c>
    </row>
    <row r="6" spans="1:33">
      <c r="A6" s="4">
        <v>1</v>
      </c>
      <c r="B6" s="4" t="s">
        <v>144</v>
      </c>
      <c r="C6" s="5">
        <v>45558.774583333332</v>
      </c>
      <c r="D6" s="4">
        <v>60</v>
      </c>
      <c r="E6" s="4">
        <v>39.700000000000003</v>
      </c>
      <c r="F6" s="4">
        <v>39.700000000000003</v>
      </c>
      <c r="G6" s="4">
        <v>43.65</v>
      </c>
      <c r="H6" s="4">
        <v>0</v>
      </c>
      <c r="I6" s="4">
        <v>0</v>
      </c>
      <c r="J6" s="6">
        <v>0</v>
      </c>
      <c r="K6" s="4">
        <v>5</v>
      </c>
      <c r="L6" s="4">
        <v>3.5927744555664058</v>
      </c>
      <c r="M6" s="4" t="b">
        <v>1</v>
      </c>
      <c r="N6" s="4" t="s">
        <v>454</v>
      </c>
      <c r="O6" s="4" t="s">
        <v>455</v>
      </c>
      <c r="P6" s="4" t="s">
        <v>456</v>
      </c>
      <c r="R6" s="4">
        <v>1</v>
      </c>
      <c r="S6" s="4" t="s">
        <v>457</v>
      </c>
      <c r="T6" s="5">
        <v>45589.761643518519</v>
      </c>
      <c r="U6" s="4">
        <v>60</v>
      </c>
      <c r="V6" s="4">
        <v>0.02</v>
      </c>
      <c r="W6" s="4">
        <v>0</v>
      </c>
      <c r="X6" s="4">
        <v>0.28000000000000003</v>
      </c>
      <c r="Y6" s="4">
        <v>0</v>
      </c>
      <c r="Z6" s="4">
        <v>0</v>
      </c>
      <c r="AA6" s="4">
        <v>2</v>
      </c>
      <c r="AB6" s="4">
        <v>3</v>
      </c>
      <c r="AC6" s="4">
        <v>1.4609401953125001</v>
      </c>
      <c r="AD6" s="4" t="b">
        <v>0</v>
      </c>
      <c r="AE6" s="4" t="s">
        <v>454</v>
      </c>
      <c r="AF6" s="4" t="s">
        <v>455</v>
      </c>
      <c r="AG6" s="4" t="s">
        <v>294</v>
      </c>
    </row>
    <row r="7" spans="1:33">
      <c r="A7" s="4">
        <v>2</v>
      </c>
      <c r="B7" s="4" t="s">
        <v>148</v>
      </c>
      <c r="C7" s="5">
        <v>45574.58792824074</v>
      </c>
      <c r="D7" s="4">
        <v>70</v>
      </c>
      <c r="E7" s="4">
        <v>39.450000000000003</v>
      </c>
      <c r="F7" s="4">
        <v>31.15</v>
      </c>
      <c r="G7" s="4">
        <v>32.15</v>
      </c>
      <c r="H7" s="4">
        <v>0</v>
      </c>
      <c r="I7" s="4">
        <v>0</v>
      </c>
      <c r="J7" s="6">
        <v>0</v>
      </c>
      <c r="K7" s="4">
        <v>73</v>
      </c>
      <c r="L7" s="4">
        <v>1.3837921435546869</v>
      </c>
      <c r="M7" s="4" t="b">
        <v>1</v>
      </c>
      <c r="N7" s="4" t="s">
        <v>454</v>
      </c>
      <c r="O7" s="4" t="s">
        <v>455</v>
      </c>
      <c r="P7" s="4" t="s">
        <v>456</v>
      </c>
      <c r="R7" s="4">
        <v>2</v>
      </c>
      <c r="S7" s="4" t="s">
        <v>458</v>
      </c>
      <c r="T7" s="5">
        <v>45595.75104166667</v>
      </c>
      <c r="U7" s="4">
        <v>70</v>
      </c>
      <c r="V7" s="4">
        <v>0.03</v>
      </c>
      <c r="W7" s="4">
        <v>0</v>
      </c>
      <c r="X7" s="4">
        <v>0.28999999999999998</v>
      </c>
      <c r="Y7" s="4">
        <v>0</v>
      </c>
      <c r="Z7" s="4">
        <v>0</v>
      </c>
      <c r="AA7" s="4">
        <v>25</v>
      </c>
      <c r="AB7" s="4">
        <v>397</v>
      </c>
      <c r="AC7" s="4">
        <v>1.08203583984375</v>
      </c>
      <c r="AD7" s="4" t="b">
        <v>0</v>
      </c>
      <c r="AE7" s="4" t="s">
        <v>454</v>
      </c>
      <c r="AF7" s="4" t="s">
        <v>455</v>
      </c>
      <c r="AG7" s="4" t="s">
        <v>294</v>
      </c>
    </row>
    <row r="8" spans="1:33">
      <c r="A8" s="4">
        <v>3</v>
      </c>
      <c r="B8" s="4" t="s">
        <v>151</v>
      </c>
      <c r="C8" s="5">
        <v>45596.816944444443</v>
      </c>
      <c r="D8" s="4">
        <v>80</v>
      </c>
      <c r="E8" s="4">
        <v>22.95</v>
      </c>
      <c r="F8" s="4">
        <v>21.35</v>
      </c>
      <c r="G8" s="4">
        <v>22</v>
      </c>
      <c r="H8" s="4">
        <v>0</v>
      </c>
      <c r="I8" s="4">
        <v>0</v>
      </c>
      <c r="J8" s="4">
        <v>111</v>
      </c>
      <c r="K8" s="4">
        <v>107</v>
      </c>
      <c r="L8" s="4">
        <v>1.0000000000000001E-5</v>
      </c>
      <c r="M8" s="4" t="b">
        <v>1</v>
      </c>
      <c r="N8" s="4" t="s">
        <v>454</v>
      </c>
      <c r="O8" s="4" t="s">
        <v>455</v>
      </c>
      <c r="P8" s="4" t="s">
        <v>456</v>
      </c>
      <c r="R8" s="4">
        <v>3</v>
      </c>
      <c r="S8" s="4" t="s">
        <v>459</v>
      </c>
      <c r="T8" s="5">
        <v>45593.662824074083</v>
      </c>
      <c r="U8" s="4">
        <v>80</v>
      </c>
      <c r="V8" s="4">
        <v>0.09</v>
      </c>
      <c r="W8" s="4">
        <v>0</v>
      </c>
      <c r="X8" s="4">
        <v>0.13</v>
      </c>
      <c r="Y8" s="4">
        <v>0</v>
      </c>
      <c r="Z8" s="4">
        <v>0</v>
      </c>
      <c r="AA8" s="4">
        <v>2</v>
      </c>
      <c r="AB8" s="4">
        <v>12</v>
      </c>
      <c r="AC8" s="4">
        <v>0.64844101562500001</v>
      </c>
      <c r="AD8" s="4" t="b">
        <v>0</v>
      </c>
      <c r="AE8" s="4" t="s">
        <v>454</v>
      </c>
      <c r="AF8" s="4" t="s">
        <v>455</v>
      </c>
      <c r="AG8" s="4" t="s">
        <v>294</v>
      </c>
    </row>
    <row r="9" spans="1:33">
      <c r="A9" s="4">
        <v>4</v>
      </c>
      <c r="B9" s="4" t="s">
        <v>154</v>
      </c>
      <c r="C9" s="5">
        <v>45600.700659722221</v>
      </c>
      <c r="D9" s="4">
        <v>85</v>
      </c>
      <c r="E9" s="4">
        <v>16.350000000000001</v>
      </c>
      <c r="F9" s="4">
        <v>16.3</v>
      </c>
      <c r="G9" s="4">
        <v>16.899999999999999</v>
      </c>
      <c r="H9" s="4">
        <v>0</v>
      </c>
      <c r="I9" s="4">
        <v>0</v>
      </c>
      <c r="J9" s="4">
        <v>1</v>
      </c>
      <c r="K9" s="4">
        <v>70</v>
      </c>
      <c r="L9" s="4">
        <v>1.0000000000000001E-5</v>
      </c>
      <c r="M9" s="4" t="b">
        <v>1</v>
      </c>
      <c r="N9" s="4" t="s">
        <v>454</v>
      </c>
      <c r="O9" s="4" t="s">
        <v>455</v>
      </c>
      <c r="P9" s="4" t="s">
        <v>456</v>
      </c>
      <c r="R9" s="4">
        <v>4</v>
      </c>
      <c r="S9" s="4" t="s">
        <v>460</v>
      </c>
      <c r="T9" s="5">
        <v>45596.71199074074</v>
      </c>
      <c r="U9" s="4">
        <v>85</v>
      </c>
      <c r="V9" s="4">
        <v>0.06</v>
      </c>
      <c r="W9" s="4">
        <v>0</v>
      </c>
      <c r="X9" s="4">
        <v>0.1</v>
      </c>
      <c r="Y9" s="4">
        <v>0</v>
      </c>
      <c r="Z9" s="4">
        <v>0</v>
      </c>
      <c r="AA9" s="4">
        <v>4</v>
      </c>
      <c r="AB9" s="4">
        <v>647</v>
      </c>
      <c r="AC9" s="4">
        <v>0.53711400390625008</v>
      </c>
      <c r="AD9" s="4" t="b">
        <v>0</v>
      </c>
      <c r="AE9" s="4" t="s">
        <v>454</v>
      </c>
      <c r="AF9" s="4" t="s">
        <v>455</v>
      </c>
      <c r="AG9" s="4" t="s">
        <v>294</v>
      </c>
    </row>
    <row r="10" spans="1:33">
      <c r="A10" s="4">
        <v>5</v>
      </c>
      <c r="B10" s="4" t="s">
        <v>155</v>
      </c>
      <c r="C10" s="5">
        <v>45589.609664351847</v>
      </c>
      <c r="D10" s="4">
        <v>90</v>
      </c>
      <c r="E10" s="4">
        <v>16.5</v>
      </c>
      <c r="F10" s="4">
        <v>11.5</v>
      </c>
      <c r="G10" s="4">
        <v>11.8</v>
      </c>
      <c r="H10" s="4">
        <v>0</v>
      </c>
      <c r="I10" s="4">
        <v>0</v>
      </c>
      <c r="J10" s="4">
        <v>2</v>
      </c>
      <c r="K10" s="4">
        <v>206</v>
      </c>
      <c r="L10" s="4">
        <v>1.0000000000000001E-5</v>
      </c>
      <c r="M10" s="4" t="b">
        <v>1</v>
      </c>
      <c r="N10" s="4" t="s">
        <v>454</v>
      </c>
      <c r="O10" s="4" t="s">
        <v>455</v>
      </c>
      <c r="P10" s="4" t="s">
        <v>456</v>
      </c>
      <c r="R10" s="4">
        <v>5</v>
      </c>
      <c r="S10" s="4" t="s">
        <v>461</v>
      </c>
      <c r="T10" s="5">
        <v>45601.605486111112</v>
      </c>
      <c r="U10" s="4">
        <v>90</v>
      </c>
      <c r="V10" s="4">
        <v>0.39</v>
      </c>
      <c r="W10" s="4">
        <v>0.01</v>
      </c>
      <c r="X10" s="4">
        <v>0.09</v>
      </c>
      <c r="Y10" s="4">
        <v>0.29999998</v>
      </c>
      <c r="Z10" s="4">
        <v>333.33330000000001</v>
      </c>
      <c r="AA10" s="4">
        <v>2</v>
      </c>
      <c r="AB10" s="4">
        <v>710</v>
      </c>
      <c r="AC10" s="4">
        <v>0.43945873046875</v>
      </c>
      <c r="AD10" s="4" t="b">
        <v>0</v>
      </c>
      <c r="AE10" s="4" t="s">
        <v>454</v>
      </c>
      <c r="AF10" s="4" t="s">
        <v>455</v>
      </c>
      <c r="AG10" s="4" t="s">
        <v>294</v>
      </c>
    </row>
    <row r="11" spans="1:33">
      <c r="A11" s="4">
        <v>6</v>
      </c>
      <c r="B11" s="4" t="s">
        <v>156</v>
      </c>
      <c r="C11" s="5">
        <v>45601.620972222219</v>
      </c>
      <c r="D11" s="4">
        <v>95</v>
      </c>
      <c r="E11" s="4">
        <v>6.3</v>
      </c>
      <c r="F11" s="4">
        <v>6.65</v>
      </c>
      <c r="G11" s="4">
        <v>6.95</v>
      </c>
      <c r="H11" s="4">
        <v>-0.96999979999999997</v>
      </c>
      <c r="I11" s="4">
        <v>-13.342501</v>
      </c>
      <c r="J11" s="4">
        <v>7</v>
      </c>
      <c r="K11" s="4">
        <v>68</v>
      </c>
      <c r="L11" s="4">
        <v>0.25391371093749998</v>
      </c>
      <c r="M11" s="4" t="b">
        <v>1</v>
      </c>
      <c r="N11" s="4" t="s">
        <v>454</v>
      </c>
      <c r="O11" s="4" t="s">
        <v>455</v>
      </c>
      <c r="P11" s="4" t="s">
        <v>456</v>
      </c>
      <c r="R11" s="4">
        <v>6</v>
      </c>
      <c r="S11" s="4" t="s">
        <v>462</v>
      </c>
      <c r="T11" s="5">
        <v>45601.645902777767</v>
      </c>
      <c r="U11" s="4">
        <v>95</v>
      </c>
      <c r="V11" s="4">
        <v>0.32</v>
      </c>
      <c r="W11" s="4">
        <v>0</v>
      </c>
      <c r="X11" s="4">
        <v>0.33</v>
      </c>
      <c r="Y11" s="4">
        <v>-2.0000009999999999E-2</v>
      </c>
      <c r="Z11" s="4">
        <v>-5.8823556999999997</v>
      </c>
      <c r="AA11" s="4">
        <v>3</v>
      </c>
      <c r="AB11" s="4">
        <v>1531</v>
      </c>
      <c r="AC11" s="4">
        <v>0.31934274414062491</v>
      </c>
      <c r="AD11" s="4" t="b">
        <v>0</v>
      </c>
      <c r="AE11" s="4" t="s">
        <v>454</v>
      </c>
      <c r="AF11" s="4" t="s">
        <v>455</v>
      </c>
      <c r="AG11" s="4" t="s">
        <v>294</v>
      </c>
    </row>
    <row r="12" spans="1:33">
      <c r="A12" s="4">
        <v>7</v>
      </c>
      <c r="B12" s="4" t="s">
        <v>158</v>
      </c>
      <c r="C12" s="5">
        <v>45597.675428240742</v>
      </c>
      <c r="D12" s="4">
        <v>98</v>
      </c>
      <c r="E12" s="4">
        <v>5.5</v>
      </c>
      <c r="F12" s="4">
        <v>4.1500000000000004</v>
      </c>
      <c r="G12" s="4">
        <v>4.3</v>
      </c>
      <c r="H12" s="4">
        <v>0</v>
      </c>
      <c r="I12" s="4">
        <v>0</v>
      </c>
      <c r="J12" s="4">
        <v>3</v>
      </c>
      <c r="K12" s="4">
        <v>54</v>
      </c>
      <c r="L12" s="4">
        <v>0.25733164550781251</v>
      </c>
      <c r="M12" s="4" t="b">
        <v>1</v>
      </c>
      <c r="N12" s="4" t="s">
        <v>454</v>
      </c>
      <c r="O12" s="4" t="s">
        <v>455</v>
      </c>
      <c r="P12" s="4" t="s">
        <v>456</v>
      </c>
      <c r="R12" s="4">
        <v>7</v>
      </c>
      <c r="S12" s="4" t="s">
        <v>463</v>
      </c>
      <c r="T12" s="5">
        <v>45601.634016203701</v>
      </c>
      <c r="U12" s="4">
        <v>98</v>
      </c>
      <c r="V12" s="4">
        <v>0.81</v>
      </c>
      <c r="W12" s="4">
        <v>0.08</v>
      </c>
      <c r="X12" s="4">
        <v>0.26</v>
      </c>
      <c r="Y12" s="4">
        <v>6.9999989999999998E-2</v>
      </c>
      <c r="Z12" s="4">
        <v>9.4594579999999997</v>
      </c>
      <c r="AA12" s="4">
        <v>1</v>
      </c>
      <c r="AB12" s="4">
        <v>386</v>
      </c>
      <c r="AC12" s="4">
        <v>0.29785858398437493</v>
      </c>
      <c r="AD12" s="4" t="b">
        <v>0</v>
      </c>
      <c r="AE12" s="4" t="s">
        <v>454</v>
      </c>
      <c r="AF12" s="4" t="s">
        <v>455</v>
      </c>
      <c r="AG12" s="4" t="s">
        <v>294</v>
      </c>
    </row>
    <row r="13" spans="1:33">
      <c r="A13" s="4">
        <v>8</v>
      </c>
      <c r="B13" s="4" t="s">
        <v>159</v>
      </c>
      <c r="C13" s="5">
        <v>45600.628958333327</v>
      </c>
      <c r="D13" s="4">
        <v>99</v>
      </c>
      <c r="E13" s="4">
        <v>3.25</v>
      </c>
      <c r="F13" s="4">
        <v>3.4</v>
      </c>
      <c r="G13" s="4">
        <v>3.55</v>
      </c>
      <c r="H13" s="4">
        <v>-0.52</v>
      </c>
      <c r="I13" s="4">
        <v>-13.793103</v>
      </c>
      <c r="J13" s="4">
        <v>7</v>
      </c>
      <c r="K13" s="4">
        <v>147</v>
      </c>
      <c r="L13" s="4">
        <v>0.26172613281250001</v>
      </c>
      <c r="M13" s="4" t="b">
        <v>1</v>
      </c>
      <c r="N13" s="4" t="s">
        <v>454</v>
      </c>
      <c r="O13" s="4" t="s">
        <v>455</v>
      </c>
      <c r="P13" s="4" t="s">
        <v>456</v>
      </c>
      <c r="R13" s="4">
        <v>8</v>
      </c>
      <c r="S13" s="4" t="s">
        <v>464</v>
      </c>
      <c r="T13" s="5">
        <v>45600.780185185176</v>
      </c>
      <c r="U13" s="4">
        <v>99</v>
      </c>
      <c r="V13" s="4">
        <v>1.08</v>
      </c>
      <c r="W13" s="4">
        <v>0.98</v>
      </c>
      <c r="X13" s="4">
        <v>1.08</v>
      </c>
      <c r="Y13" s="4">
        <v>6.0000062E-2</v>
      </c>
      <c r="Z13" s="4">
        <v>5.8823590000000001</v>
      </c>
      <c r="AA13" s="4">
        <v>8</v>
      </c>
      <c r="AB13" s="4">
        <v>179</v>
      </c>
      <c r="AC13" s="4">
        <v>0.2924875439453124</v>
      </c>
      <c r="AD13" s="4" t="b">
        <v>0</v>
      </c>
      <c r="AE13" s="4" t="s">
        <v>454</v>
      </c>
      <c r="AF13" s="4" t="s">
        <v>455</v>
      </c>
      <c r="AG13" s="4" t="s">
        <v>294</v>
      </c>
    </row>
    <row r="14" spans="1:33">
      <c r="A14" s="4">
        <v>9</v>
      </c>
      <c r="B14" s="4" t="s">
        <v>160</v>
      </c>
      <c r="C14" s="5">
        <v>45601.636006944442</v>
      </c>
      <c r="D14" s="4">
        <v>100</v>
      </c>
      <c r="E14" s="4">
        <v>2.35</v>
      </c>
      <c r="F14" s="4">
        <v>2.73</v>
      </c>
      <c r="G14" s="4">
        <v>2.84</v>
      </c>
      <c r="H14" s="4">
        <v>-0.37000011999999999</v>
      </c>
      <c r="I14" s="4">
        <v>-13.602945</v>
      </c>
      <c r="J14" s="4">
        <v>8</v>
      </c>
      <c r="K14" s="4">
        <v>357</v>
      </c>
      <c r="L14" s="4">
        <v>0.25220474365234369</v>
      </c>
      <c r="M14" s="4" t="b">
        <v>1</v>
      </c>
      <c r="N14" s="4" t="s">
        <v>454</v>
      </c>
      <c r="O14" s="4" t="s">
        <v>455</v>
      </c>
      <c r="P14" s="4" t="s">
        <v>456</v>
      </c>
      <c r="R14" s="4">
        <v>9</v>
      </c>
      <c r="S14" s="4" t="s">
        <v>465</v>
      </c>
      <c r="T14" s="5">
        <v>45601.640057870369</v>
      </c>
      <c r="U14" s="4">
        <v>100</v>
      </c>
      <c r="V14" s="4">
        <v>1.46</v>
      </c>
      <c r="W14" s="4">
        <v>1.38</v>
      </c>
      <c r="X14" s="4">
        <v>1.44</v>
      </c>
      <c r="Y14" s="4">
        <v>0.21000004</v>
      </c>
      <c r="Z14" s="4">
        <v>16.800003</v>
      </c>
      <c r="AA14" s="4">
        <v>38</v>
      </c>
      <c r="AB14" s="4">
        <v>27767</v>
      </c>
      <c r="AC14" s="4">
        <v>0.29102271484374992</v>
      </c>
      <c r="AD14" s="4" t="b">
        <v>0</v>
      </c>
      <c r="AE14" s="4" t="s">
        <v>454</v>
      </c>
      <c r="AF14" s="4" t="s">
        <v>455</v>
      </c>
      <c r="AG14" s="4" t="s">
        <v>294</v>
      </c>
    </row>
    <row r="15" spans="1:33">
      <c r="A15" s="4">
        <v>10</v>
      </c>
      <c r="B15" s="4" t="s">
        <v>161</v>
      </c>
      <c r="C15" s="5">
        <v>45601.643564814818</v>
      </c>
      <c r="D15" s="4">
        <v>101</v>
      </c>
      <c r="E15" s="4">
        <v>1.87</v>
      </c>
      <c r="F15" s="4">
        <v>2.11</v>
      </c>
      <c r="G15" s="4">
        <v>2.21</v>
      </c>
      <c r="H15" s="4">
        <v>-0.6</v>
      </c>
      <c r="I15" s="4">
        <v>-24.291499999999999</v>
      </c>
      <c r="J15" s="4">
        <v>16</v>
      </c>
      <c r="K15" s="4">
        <v>1037</v>
      </c>
      <c r="L15" s="4">
        <v>0.26709717285156248</v>
      </c>
      <c r="M15" s="4" t="b">
        <v>1</v>
      </c>
      <c r="N15" s="4" t="s">
        <v>454</v>
      </c>
      <c r="O15" s="4" t="s">
        <v>455</v>
      </c>
      <c r="P15" s="4" t="s">
        <v>456</v>
      </c>
      <c r="R15" s="4">
        <v>10</v>
      </c>
      <c r="S15" s="4" t="s">
        <v>466</v>
      </c>
      <c r="T15" s="5">
        <v>45601.644224537027</v>
      </c>
      <c r="U15" s="4">
        <v>101</v>
      </c>
      <c r="V15" s="4">
        <v>1.82</v>
      </c>
      <c r="W15" s="4">
        <v>1.74</v>
      </c>
      <c r="X15" s="4">
        <v>1.88</v>
      </c>
      <c r="Y15" s="4">
        <v>0.29000007999999999</v>
      </c>
      <c r="Z15" s="4">
        <v>18.954253999999999</v>
      </c>
      <c r="AA15" s="4">
        <v>1</v>
      </c>
      <c r="AB15" s="4">
        <v>715</v>
      </c>
      <c r="AC15" s="4">
        <v>0.29004616210937489</v>
      </c>
      <c r="AD15" s="4" t="b">
        <v>0</v>
      </c>
      <c r="AE15" s="4" t="s">
        <v>454</v>
      </c>
      <c r="AF15" s="4" t="s">
        <v>455</v>
      </c>
      <c r="AG15" s="4" t="s">
        <v>294</v>
      </c>
    </row>
    <row r="16" spans="1:33">
      <c r="A16" s="4">
        <v>11</v>
      </c>
      <c r="B16" s="7" t="s">
        <v>163</v>
      </c>
      <c r="C16" s="8">
        <v>45601.617951388893</v>
      </c>
      <c r="D16" s="7">
        <v>102</v>
      </c>
      <c r="E16" s="7">
        <v>1.69</v>
      </c>
      <c r="F16" s="7">
        <v>1.6</v>
      </c>
      <c r="G16" s="7">
        <v>1.66</v>
      </c>
      <c r="H16" s="7">
        <v>-0.57000004999999998</v>
      </c>
      <c r="I16" s="7">
        <v>-28.643217</v>
      </c>
      <c r="J16" s="7">
        <v>41</v>
      </c>
      <c r="K16" s="7">
        <v>789</v>
      </c>
      <c r="L16" s="7">
        <v>0.26343510009765619</v>
      </c>
      <c r="M16" s="7" t="b">
        <v>0</v>
      </c>
      <c r="N16" s="7" t="s">
        <v>454</v>
      </c>
      <c r="O16" s="7" t="s">
        <v>455</v>
      </c>
      <c r="P16" s="7" t="s">
        <v>456</v>
      </c>
      <c r="R16" s="4">
        <v>11</v>
      </c>
      <c r="S16" s="4" t="s">
        <v>433</v>
      </c>
      <c r="T16" s="5">
        <v>45601.642557870371</v>
      </c>
      <c r="U16" s="4">
        <v>102</v>
      </c>
      <c r="V16" s="4">
        <v>2.39</v>
      </c>
      <c r="W16" s="4">
        <v>2.2999999999999998</v>
      </c>
      <c r="X16" s="4">
        <v>2.41</v>
      </c>
      <c r="Y16" s="4">
        <v>0.38000010000000001</v>
      </c>
      <c r="Z16" s="4">
        <v>18.905477999999999</v>
      </c>
      <c r="AA16" s="4">
        <v>6</v>
      </c>
      <c r="AB16" s="4">
        <v>380</v>
      </c>
      <c r="AC16" s="4">
        <v>0.29077857666015622</v>
      </c>
      <c r="AD16" s="4" t="b">
        <v>1</v>
      </c>
      <c r="AE16" s="4" t="s">
        <v>454</v>
      </c>
      <c r="AF16" s="4" t="s">
        <v>455</v>
      </c>
      <c r="AG16" s="4" t="s">
        <v>294</v>
      </c>
    </row>
    <row r="17" spans="1:33">
      <c r="A17" s="4">
        <v>12</v>
      </c>
      <c r="B17" s="4" t="s">
        <v>164</v>
      </c>
      <c r="C17" s="5">
        <v>45601.641770833332</v>
      </c>
      <c r="D17" s="4">
        <v>103</v>
      </c>
      <c r="E17" s="1">
        <v>1.27</v>
      </c>
      <c r="F17" s="4">
        <v>1.03</v>
      </c>
      <c r="G17" s="4">
        <v>1.17</v>
      </c>
      <c r="H17" s="4">
        <v>-0.43000007000000001</v>
      </c>
      <c r="I17" s="4">
        <v>-29.452058999999998</v>
      </c>
      <c r="J17" s="4">
        <v>19</v>
      </c>
      <c r="K17" s="4">
        <v>438</v>
      </c>
      <c r="L17" s="4">
        <v>0.25293715820312501</v>
      </c>
      <c r="M17" s="4" t="b">
        <v>0</v>
      </c>
      <c r="N17" s="4" t="s">
        <v>454</v>
      </c>
      <c r="O17" s="4" t="s">
        <v>455</v>
      </c>
      <c r="P17" s="4" t="s">
        <v>456</v>
      </c>
      <c r="R17" s="4">
        <v>12</v>
      </c>
      <c r="S17" s="4" t="s">
        <v>467</v>
      </c>
      <c r="T17" s="5">
        <v>45600.866087962961</v>
      </c>
      <c r="U17" s="4">
        <v>103</v>
      </c>
      <c r="V17" s="4">
        <v>3.3</v>
      </c>
      <c r="W17" s="4">
        <v>2.79</v>
      </c>
      <c r="X17" s="4">
        <v>3.1</v>
      </c>
      <c r="Y17" s="4">
        <v>0.78</v>
      </c>
      <c r="Z17" s="4">
        <v>30.952380999999999</v>
      </c>
      <c r="AA17" s="4">
        <v>2</v>
      </c>
      <c r="AB17" s="4">
        <v>314</v>
      </c>
      <c r="AC17" s="4">
        <v>0.30396203857421872</v>
      </c>
      <c r="AD17" s="4" t="b">
        <v>1</v>
      </c>
      <c r="AE17" s="4" t="s">
        <v>454</v>
      </c>
      <c r="AF17" s="4" t="s">
        <v>455</v>
      </c>
      <c r="AG17" s="4" t="s">
        <v>294</v>
      </c>
    </row>
    <row r="18" spans="1:33">
      <c r="A18" s="4">
        <v>13</v>
      </c>
      <c r="B18" s="4" t="s">
        <v>166</v>
      </c>
      <c r="C18" s="5">
        <v>45601.618483796286</v>
      </c>
      <c r="D18" s="4">
        <v>104</v>
      </c>
      <c r="E18" s="1">
        <v>0.87</v>
      </c>
      <c r="F18" s="4">
        <v>0.82</v>
      </c>
      <c r="G18" s="4">
        <v>0.87</v>
      </c>
      <c r="H18" s="4">
        <v>-0.44999992999999999</v>
      </c>
      <c r="I18" s="4">
        <v>-38.461533000000003</v>
      </c>
      <c r="J18" s="4">
        <v>2</v>
      </c>
      <c r="K18" s="4">
        <v>396</v>
      </c>
      <c r="L18" s="4">
        <v>0.25879647460937499</v>
      </c>
      <c r="M18" s="4" t="b">
        <v>0</v>
      </c>
      <c r="N18" s="4" t="s">
        <v>454</v>
      </c>
      <c r="O18" s="4" t="s">
        <v>455</v>
      </c>
      <c r="P18" s="4" t="s">
        <v>456</v>
      </c>
      <c r="R18" s="4">
        <v>13</v>
      </c>
      <c r="S18" s="4" t="s">
        <v>468</v>
      </c>
      <c r="T18" s="5">
        <v>45601.645949074067</v>
      </c>
      <c r="U18" s="4">
        <v>104</v>
      </c>
      <c r="V18" s="4">
        <v>3.7</v>
      </c>
      <c r="W18" s="4">
        <v>3.65</v>
      </c>
      <c r="X18" s="4">
        <v>3.75</v>
      </c>
      <c r="Y18" s="4">
        <v>0.5</v>
      </c>
      <c r="Z18" s="4">
        <v>15.625</v>
      </c>
      <c r="AA18" s="4">
        <v>2</v>
      </c>
      <c r="AB18" s="4">
        <v>1695</v>
      </c>
      <c r="AC18" s="4">
        <v>0.30127651855468751</v>
      </c>
      <c r="AD18" s="4" t="b">
        <v>1</v>
      </c>
      <c r="AE18" s="4" t="s">
        <v>454</v>
      </c>
      <c r="AF18" s="4" t="s">
        <v>455</v>
      </c>
      <c r="AG18" s="4" t="s">
        <v>294</v>
      </c>
    </row>
    <row r="19" spans="1:33">
      <c r="A19" s="4">
        <v>14</v>
      </c>
      <c r="B19" s="4" t="s">
        <v>169</v>
      </c>
      <c r="C19" s="5">
        <v>45601.646840277783</v>
      </c>
      <c r="D19" s="4">
        <v>105</v>
      </c>
      <c r="E19" s="4">
        <v>0.52</v>
      </c>
      <c r="F19" s="4">
        <v>0.56999999999999995</v>
      </c>
      <c r="G19" s="4">
        <v>0.61</v>
      </c>
      <c r="H19" s="4">
        <v>-0.3</v>
      </c>
      <c r="I19" s="4">
        <v>-36.585369999999998</v>
      </c>
      <c r="J19" s="4">
        <v>475</v>
      </c>
      <c r="K19" s="4">
        <v>4186</v>
      </c>
      <c r="L19" s="4">
        <v>0.25879647460937499</v>
      </c>
      <c r="M19" s="4" t="b">
        <v>0</v>
      </c>
      <c r="N19" s="4" t="s">
        <v>454</v>
      </c>
      <c r="O19" s="4" t="s">
        <v>455</v>
      </c>
      <c r="P19" s="4" t="s">
        <v>456</v>
      </c>
      <c r="R19" s="4">
        <v>14</v>
      </c>
      <c r="S19" s="4" t="s">
        <v>469</v>
      </c>
      <c r="T19" s="5">
        <v>45601.622476851851</v>
      </c>
      <c r="U19" s="4">
        <v>105</v>
      </c>
      <c r="V19" s="4">
        <v>4.57</v>
      </c>
      <c r="W19" s="4">
        <v>4.45</v>
      </c>
      <c r="X19" s="4">
        <v>4.5999999999999996</v>
      </c>
      <c r="Y19" s="4">
        <v>0.80000020000000005</v>
      </c>
      <c r="Z19" s="4">
        <v>21.220162999999999</v>
      </c>
      <c r="AA19" s="4">
        <v>7</v>
      </c>
      <c r="AB19" s="4">
        <v>4771</v>
      </c>
      <c r="AC19" s="4">
        <v>0.32178412597656247</v>
      </c>
      <c r="AD19" s="4" t="b">
        <v>1</v>
      </c>
      <c r="AE19" s="4" t="s">
        <v>454</v>
      </c>
      <c r="AF19" s="4" t="s">
        <v>455</v>
      </c>
      <c r="AG19" s="4" t="s">
        <v>294</v>
      </c>
    </row>
    <row r="20" spans="1:33">
      <c r="A20" s="4">
        <v>15</v>
      </c>
      <c r="B20" s="4" t="s">
        <v>171</v>
      </c>
      <c r="C20" s="5">
        <v>45601.645543981482</v>
      </c>
      <c r="D20" s="4">
        <v>106</v>
      </c>
      <c r="E20" s="4">
        <v>0.35</v>
      </c>
      <c r="F20" s="4">
        <v>0.39</v>
      </c>
      <c r="G20" s="4">
        <v>0.42</v>
      </c>
      <c r="H20" s="4">
        <v>-0.27</v>
      </c>
      <c r="I20" s="4">
        <v>-43.548389999999998</v>
      </c>
      <c r="J20" s="4">
        <v>29</v>
      </c>
      <c r="K20" s="4">
        <v>1524</v>
      </c>
      <c r="L20" s="4">
        <v>0.26270268554687498</v>
      </c>
      <c r="M20" s="4" t="b">
        <v>0</v>
      </c>
      <c r="N20" s="4" t="s">
        <v>454</v>
      </c>
      <c r="O20" s="4" t="s">
        <v>455</v>
      </c>
      <c r="P20" s="4" t="s">
        <v>456</v>
      </c>
      <c r="R20" s="4">
        <v>15</v>
      </c>
      <c r="S20" s="4" t="s">
        <v>470</v>
      </c>
      <c r="T20" s="5">
        <v>45600.763067129628</v>
      </c>
      <c r="U20" s="4">
        <v>106</v>
      </c>
      <c r="V20" s="4">
        <v>5.0999999999999996</v>
      </c>
      <c r="W20" s="4">
        <v>5</v>
      </c>
      <c r="X20" s="4">
        <v>5.4</v>
      </c>
      <c r="Y20" s="4">
        <v>0</v>
      </c>
      <c r="Z20" s="4">
        <v>0</v>
      </c>
      <c r="AA20" s="4">
        <v>3</v>
      </c>
      <c r="AB20" s="4">
        <v>778</v>
      </c>
      <c r="AC20" s="4">
        <v>0.32691102783203119</v>
      </c>
      <c r="AD20" s="4" t="b">
        <v>1</v>
      </c>
      <c r="AE20" s="4" t="s">
        <v>454</v>
      </c>
      <c r="AF20" s="4" t="s">
        <v>455</v>
      </c>
      <c r="AG20" s="4" t="s">
        <v>294</v>
      </c>
    </row>
    <row r="21" spans="1:33">
      <c r="A21" s="4">
        <v>16</v>
      </c>
      <c r="B21" s="4" t="s">
        <v>173</v>
      </c>
      <c r="C21" s="5">
        <v>45600.874849537038</v>
      </c>
      <c r="D21" s="4">
        <v>107</v>
      </c>
      <c r="E21" s="4">
        <v>0.37</v>
      </c>
      <c r="F21" s="4">
        <v>0.23</v>
      </c>
      <c r="G21" s="4">
        <v>0.28999999999999998</v>
      </c>
      <c r="H21" s="4">
        <v>-6.9999989999999998E-2</v>
      </c>
      <c r="I21" s="4">
        <v>-15.909089</v>
      </c>
      <c r="J21" s="4">
        <v>2</v>
      </c>
      <c r="K21" s="4">
        <v>751</v>
      </c>
      <c r="L21" s="4">
        <v>0.30908894042968749</v>
      </c>
      <c r="M21" s="4" t="b">
        <v>0</v>
      </c>
      <c r="N21" s="4" t="s">
        <v>454</v>
      </c>
      <c r="O21" s="4" t="s">
        <v>455</v>
      </c>
      <c r="P21" s="4" t="s">
        <v>456</v>
      </c>
      <c r="R21" s="4">
        <v>16</v>
      </c>
      <c r="S21" s="4" t="s">
        <v>471</v>
      </c>
      <c r="T21" s="5">
        <v>45600.724027777767</v>
      </c>
      <c r="U21" s="4">
        <v>107</v>
      </c>
      <c r="V21" s="4">
        <v>6</v>
      </c>
      <c r="W21" s="4">
        <v>5.75</v>
      </c>
      <c r="X21" s="4">
        <v>6.4</v>
      </c>
      <c r="Y21" s="4">
        <v>0</v>
      </c>
      <c r="Z21" s="4">
        <v>0</v>
      </c>
      <c r="AA21" s="4">
        <v>20</v>
      </c>
      <c r="AB21" s="4">
        <v>932</v>
      </c>
      <c r="AC21" s="4">
        <v>0.36524072265625002</v>
      </c>
      <c r="AD21" s="4" t="b">
        <v>1</v>
      </c>
      <c r="AE21" s="4" t="s">
        <v>454</v>
      </c>
      <c r="AF21" s="4" t="s">
        <v>455</v>
      </c>
      <c r="AG21" s="4" t="s">
        <v>294</v>
      </c>
    </row>
    <row r="22" spans="1:33">
      <c r="A22" s="4">
        <v>17</v>
      </c>
      <c r="B22" s="4" t="s">
        <v>175</v>
      </c>
      <c r="C22" s="5">
        <v>45601.622557870367</v>
      </c>
      <c r="D22" s="4">
        <v>108</v>
      </c>
      <c r="E22" s="4">
        <v>0.17</v>
      </c>
      <c r="F22" s="4">
        <v>0.17</v>
      </c>
      <c r="G22" s="4">
        <v>0.21</v>
      </c>
      <c r="H22" s="4">
        <v>-0.09</v>
      </c>
      <c r="I22" s="4">
        <v>-33.333331999999999</v>
      </c>
      <c r="J22" s="4">
        <v>3</v>
      </c>
      <c r="K22" s="4">
        <v>1177</v>
      </c>
      <c r="L22" s="4">
        <v>0.26465579101562497</v>
      </c>
      <c r="M22" s="4" t="b">
        <v>0</v>
      </c>
      <c r="N22" s="4" t="s">
        <v>454</v>
      </c>
      <c r="O22" s="4" t="s">
        <v>455</v>
      </c>
      <c r="P22" s="4" t="s">
        <v>456</v>
      </c>
      <c r="R22" s="4">
        <v>17</v>
      </c>
      <c r="S22" s="4" t="s">
        <v>472</v>
      </c>
      <c r="T22" s="5">
        <v>45597.68681712963</v>
      </c>
      <c r="U22" s="4">
        <v>108</v>
      </c>
      <c r="V22" s="4">
        <v>5.85</v>
      </c>
      <c r="W22" s="4">
        <v>7.05</v>
      </c>
      <c r="X22" s="4">
        <v>7.35</v>
      </c>
      <c r="Y22" s="4">
        <v>0</v>
      </c>
      <c r="Z22" s="4">
        <v>0</v>
      </c>
      <c r="AA22" s="4">
        <v>9</v>
      </c>
      <c r="AB22" s="4">
        <v>192</v>
      </c>
      <c r="AC22" s="4">
        <v>0.39111937011718739</v>
      </c>
      <c r="AD22" s="4" t="b">
        <v>1</v>
      </c>
      <c r="AE22" s="4" t="s">
        <v>454</v>
      </c>
      <c r="AF22" s="4" t="s">
        <v>455</v>
      </c>
      <c r="AG22" s="4" t="s">
        <v>294</v>
      </c>
    </row>
    <row r="23" spans="1:33">
      <c r="A23" s="4">
        <v>18</v>
      </c>
      <c r="B23" s="4" t="s">
        <v>177</v>
      </c>
      <c r="C23" s="5">
        <v>45601.642488425918</v>
      </c>
      <c r="D23" s="4">
        <v>109</v>
      </c>
      <c r="E23" s="4">
        <v>0.14000000000000001</v>
      </c>
      <c r="F23" s="4">
        <v>0.11</v>
      </c>
      <c r="G23" s="4">
        <v>0.15</v>
      </c>
      <c r="H23" s="4">
        <v>-4.9999996999999997E-2</v>
      </c>
      <c r="I23" s="4">
        <v>-26.315785999999999</v>
      </c>
      <c r="J23" s="4">
        <v>3</v>
      </c>
      <c r="K23" s="4">
        <v>141</v>
      </c>
      <c r="L23" s="4">
        <v>0.27246821289062501</v>
      </c>
      <c r="M23" s="4" t="b">
        <v>0</v>
      </c>
      <c r="N23" s="4" t="s">
        <v>454</v>
      </c>
      <c r="O23" s="4" t="s">
        <v>455</v>
      </c>
      <c r="P23" s="4" t="s">
        <v>456</v>
      </c>
      <c r="R23" s="4">
        <v>18</v>
      </c>
      <c r="S23" s="4" t="s">
        <v>473</v>
      </c>
      <c r="T23" s="5">
        <v>45600.612141203703</v>
      </c>
      <c r="U23" s="4">
        <v>109</v>
      </c>
      <c r="V23" s="4">
        <v>7.25</v>
      </c>
      <c r="W23" s="4">
        <v>7.95</v>
      </c>
      <c r="X23" s="4">
        <v>8.35</v>
      </c>
      <c r="Y23" s="4">
        <v>0</v>
      </c>
      <c r="Z23" s="4">
        <v>0</v>
      </c>
      <c r="AA23" s="4">
        <v>2</v>
      </c>
      <c r="AB23" s="4">
        <v>53</v>
      </c>
      <c r="AC23" s="4">
        <v>0.42578699218749999</v>
      </c>
      <c r="AD23" s="4" t="b">
        <v>1</v>
      </c>
      <c r="AE23" s="4" t="s">
        <v>454</v>
      </c>
      <c r="AF23" s="4" t="s">
        <v>455</v>
      </c>
      <c r="AG23" s="4" t="s">
        <v>294</v>
      </c>
    </row>
    <row r="24" spans="1:33">
      <c r="A24" s="4">
        <v>19</v>
      </c>
      <c r="B24" s="4" t="s">
        <v>178</v>
      </c>
      <c r="C24" s="5">
        <v>45601.63554398148</v>
      </c>
      <c r="D24" s="4">
        <v>110</v>
      </c>
      <c r="E24" s="4">
        <v>0.08</v>
      </c>
      <c r="F24" s="4">
        <v>0.08</v>
      </c>
      <c r="G24" s="4">
        <v>0.1</v>
      </c>
      <c r="H24" s="4">
        <v>-7.0000010000000001E-2</v>
      </c>
      <c r="I24" s="4">
        <v>-46.666670000000003</v>
      </c>
      <c r="J24" s="4">
        <v>22</v>
      </c>
      <c r="K24" s="4">
        <v>4034</v>
      </c>
      <c r="L24" s="4">
        <v>0.28223374023437497</v>
      </c>
      <c r="M24" s="4" t="b">
        <v>0</v>
      </c>
      <c r="N24" s="4" t="s">
        <v>454</v>
      </c>
      <c r="O24" s="4" t="s">
        <v>455</v>
      </c>
      <c r="P24" s="4" t="s">
        <v>456</v>
      </c>
      <c r="R24" s="4">
        <v>19</v>
      </c>
      <c r="S24" s="4" t="s">
        <v>474</v>
      </c>
      <c r="T24" s="5">
        <v>45601.622476851851</v>
      </c>
      <c r="U24" s="4">
        <v>110</v>
      </c>
      <c r="V24" s="4">
        <v>9.1999999999999993</v>
      </c>
      <c r="W24" s="4">
        <v>9.0500000000000007</v>
      </c>
      <c r="X24" s="4">
        <v>9.3000000000000007</v>
      </c>
      <c r="Y24" s="4">
        <v>0.75</v>
      </c>
      <c r="Z24" s="4">
        <v>8.8757400000000004</v>
      </c>
      <c r="AA24" s="4">
        <v>4</v>
      </c>
      <c r="AB24" s="4">
        <v>17315</v>
      </c>
      <c r="AC24" s="4">
        <v>0.44775942871093738</v>
      </c>
      <c r="AD24" s="4" t="b">
        <v>1</v>
      </c>
      <c r="AE24" s="4" t="s">
        <v>454</v>
      </c>
      <c r="AF24" s="4" t="s">
        <v>455</v>
      </c>
      <c r="AG24" s="4" t="s">
        <v>294</v>
      </c>
    </row>
    <row r="25" spans="1:33">
      <c r="A25" s="4">
        <v>20</v>
      </c>
      <c r="B25" s="4" t="s">
        <v>179</v>
      </c>
      <c r="C25" s="5">
        <v>45600.772002314807</v>
      </c>
      <c r="D25" s="4">
        <v>111</v>
      </c>
      <c r="E25" s="4">
        <v>0.05</v>
      </c>
      <c r="F25" s="4">
        <v>0.06</v>
      </c>
      <c r="G25" s="4">
        <v>0.09</v>
      </c>
      <c r="H25" s="4">
        <v>0</v>
      </c>
      <c r="I25" s="4">
        <v>0</v>
      </c>
      <c r="J25" s="4">
        <v>4</v>
      </c>
      <c r="K25" s="4">
        <v>579</v>
      </c>
      <c r="L25" s="4">
        <v>0.37793590820312489</v>
      </c>
      <c r="M25" s="4" t="b">
        <v>0</v>
      </c>
      <c r="N25" s="4" t="s">
        <v>454</v>
      </c>
      <c r="O25" s="4" t="s">
        <v>455</v>
      </c>
      <c r="P25" s="4" t="s">
        <v>456</v>
      </c>
      <c r="R25" s="4">
        <v>20</v>
      </c>
      <c r="S25" s="4" t="s">
        <v>475</v>
      </c>
      <c r="T25" s="5">
        <v>45597.735868055563</v>
      </c>
      <c r="U25" s="4">
        <v>111</v>
      </c>
      <c r="V25" s="4">
        <v>9</v>
      </c>
      <c r="W25" s="4">
        <v>10.050000000000001</v>
      </c>
      <c r="X25" s="4">
        <v>10.3</v>
      </c>
      <c r="Y25" s="4">
        <v>0</v>
      </c>
      <c r="Z25" s="4">
        <v>0</v>
      </c>
      <c r="AA25" s="4">
        <v>2</v>
      </c>
      <c r="AB25" s="4">
        <v>29</v>
      </c>
      <c r="AC25" s="4">
        <v>0.47998566894531253</v>
      </c>
      <c r="AD25" s="4" t="b">
        <v>1</v>
      </c>
      <c r="AE25" s="4" t="s">
        <v>454</v>
      </c>
      <c r="AF25" s="4" t="s">
        <v>455</v>
      </c>
      <c r="AG25" s="4" t="s">
        <v>294</v>
      </c>
    </row>
    <row r="26" spans="1:33">
      <c r="A26" s="4">
        <v>21</v>
      </c>
      <c r="B26" s="4" t="s">
        <v>180</v>
      </c>
      <c r="C26" s="5">
        <v>45600.80269675926</v>
      </c>
      <c r="D26" s="4">
        <v>112</v>
      </c>
      <c r="E26" s="4">
        <v>0.05</v>
      </c>
      <c r="F26" s="4">
        <v>0.02</v>
      </c>
      <c r="G26" s="4">
        <v>0.23</v>
      </c>
      <c r="H26" s="4">
        <v>0</v>
      </c>
      <c r="I26" s="4">
        <v>0</v>
      </c>
      <c r="J26" s="4">
        <v>124</v>
      </c>
      <c r="K26" s="4">
        <v>5242</v>
      </c>
      <c r="L26" s="4">
        <v>0.39356075195312501</v>
      </c>
      <c r="M26" s="4" t="b">
        <v>0</v>
      </c>
      <c r="N26" s="4" t="s">
        <v>454</v>
      </c>
      <c r="O26" s="4" t="s">
        <v>455</v>
      </c>
      <c r="P26" s="4" t="s">
        <v>456</v>
      </c>
      <c r="R26" s="4">
        <v>21</v>
      </c>
      <c r="S26" s="4" t="s">
        <v>476</v>
      </c>
      <c r="T26" s="5">
        <v>45587.783668981479</v>
      </c>
      <c r="U26" s="4">
        <v>112</v>
      </c>
      <c r="V26" s="4">
        <v>6.54</v>
      </c>
      <c r="W26" s="4">
        <v>11.05</v>
      </c>
      <c r="X26" s="4">
        <v>12.75</v>
      </c>
      <c r="Y26" s="4">
        <v>0</v>
      </c>
      <c r="Z26" s="4">
        <v>0</v>
      </c>
      <c r="AA26" s="4">
        <v>2</v>
      </c>
      <c r="AB26" s="4">
        <v>1</v>
      </c>
      <c r="AC26" s="4">
        <v>0.64599963378906244</v>
      </c>
      <c r="AD26" s="4" t="b">
        <v>1</v>
      </c>
      <c r="AE26" s="4" t="s">
        <v>454</v>
      </c>
      <c r="AF26" s="4" t="s">
        <v>455</v>
      </c>
      <c r="AG26" s="4" t="s">
        <v>294</v>
      </c>
    </row>
    <row r="27" spans="1:33">
      <c r="A27" s="4">
        <v>22</v>
      </c>
      <c r="B27" s="4" t="s">
        <v>181</v>
      </c>
      <c r="C27" s="5">
        <v>45600.657129629632</v>
      </c>
      <c r="D27" s="4">
        <v>113</v>
      </c>
      <c r="E27" s="4">
        <v>0.03</v>
      </c>
      <c r="F27" s="4">
        <v>0.01</v>
      </c>
      <c r="G27" s="4">
        <v>0.4</v>
      </c>
      <c r="H27" s="4">
        <v>0</v>
      </c>
      <c r="I27" s="4">
        <v>0</v>
      </c>
      <c r="J27" s="4">
        <v>9</v>
      </c>
      <c r="K27" s="4">
        <v>416</v>
      </c>
      <c r="L27" s="4">
        <v>0.4809622216796875</v>
      </c>
      <c r="M27" s="4" t="b">
        <v>0</v>
      </c>
      <c r="N27" s="4" t="s">
        <v>454</v>
      </c>
      <c r="O27" s="4" t="s">
        <v>455</v>
      </c>
      <c r="P27" s="4" t="s">
        <v>456</v>
      </c>
      <c r="R27" s="4">
        <v>22</v>
      </c>
      <c r="S27" s="4" t="s">
        <v>477</v>
      </c>
      <c r="T27" s="5">
        <v>45596.566840277781</v>
      </c>
      <c r="U27" s="4">
        <v>113</v>
      </c>
      <c r="V27" s="4">
        <v>14.05</v>
      </c>
      <c r="W27" s="4">
        <v>12</v>
      </c>
      <c r="X27" s="4">
        <v>12.8</v>
      </c>
      <c r="Y27" s="4">
        <v>0</v>
      </c>
      <c r="Z27" s="4">
        <v>0</v>
      </c>
      <c r="AA27" s="4">
        <v>4</v>
      </c>
      <c r="AB27" s="4">
        <v>4</v>
      </c>
      <c r="AC27" s="4">
        <v>0.56738713867187496</v>
      </c>
      <c r="AD27" s="4" t="b">
        <v>1</v>
      </c>
      <c r="AE27" s="4" t="s">
        <v>454</v>
      </c>
      <c r="AF27" s="4" t="s">
        <v>455</v>
      </c>
      <c r="AG27" s="4" t="s">
        <v>294</v>
      </c>
    </row>
    <row r="28" spans="1:33">
      <c r="A28" s="4">
        <v>23</v>
      </c>
      <c r="B28" s="4" t="s">
        <v>182</v>
      </c>
      <c r="C28" s="5">
        <v>45600.707881944443</v>
      </c>
      <c r="D28" s="4">
        <v>114</v>
      </c>
      <c r="E28" s="4">
        <v>0.03</v>
      </c>
      <c r="F28" s="4">
        <v>0.01</v>
      </c>
      <c r="G28" s="4">
        <v>0.13</v>
      </c>
      <c r="H28" s="4">
        <v>0</v>
      </c>
      <c r="I28" s="4">
        <v>0</v>
      </c>
      <c r="J28" s="4">
        <v>68</v>
      </c>
      <c r="K28" s="4">
        <v>528</v>
      </c>
      <c r="L28" s="4">
        <v>0.39649041015624997</v>
      </c>
      <c r="M28" s="4" t="b">
        <v>0</v>
      </c>
      <c r="N28" s="4" t="s">
        <v>454</v>
      </c>
      <c r="O28" s="4" t="s">
        <v>455</v>
      </c>
      <c r="P28" s="4" t="s">
        <v>456</v>
      </c>
      <c r="R28" s="4">
        <v>23</v>
      </c>
      <c r="S28" s="4" t="s">
        <v>478</v>
      </c>
      <c r="T28" s="5">
        <v>45587.606249999997</v>
      </c>
      <c r="U28" s="4">
        <v>114</v>
      </c>
      <c r="V28" s="4">
        <v>8.27</v>
      </c>
      <c r="W28" s="4">
        <v>12.95</v>
      </c>
      <c r="X28" s="4">
        <v>13.25</v>
      </c>
      <c r="Y28" s="4">
        <v>0</v>
      </c>
      <c r="Z28" s="4">
        <v>0</v>
      </c>
      <c r="AA28" s="4"/>
      <c r="AB28" s="4">
        <v>0</v>
      </c>
      <c r="AC28" s="4">
        <v>0.51221190917968751</v>
      </c>
      <c r="AD28" s="4" t="b">
        <v>1</v>
      </c>
      <c r="AE28" s="4" t="s">
        <v>454</v>
      </c>
      <c r="AF28" s="4" t="s">
        <v>455</v>
      </c>
      <c r="AG28" s="4" t="s">
        <v>294</v>
      </c>
    </row>
    <row r="29" spans="1:33">
      <c r="A29" s="4">
        <v>24</v>
      </c>
      <c r="B29" s="4" t="s">
        <v>183</v>
      </c>
      <c r="C29" s="5">
        <v>45601.639826388891</v>
      </c>
      <c r="D29" s="4">
        <v>115</v>
      </c>
      <c r="E29" s="4">
        <v>0.03</v>
      </c>
      <c r="F29" s="4">
        <v>0.02</v>
      </c>
      <c r="G29" s="4">
        <v>0.03</v>
      </c>
      <c r="H29" s="4">
        <v>0</v>
      </c>
      <c r="I29" s="4">
        <v>0</v>
      </c>
      <c r="J29" s="4">
        <v>8</v>
      </c>
      <c r="K29" s="4">
        <v>5939</v>
      </c>
      <c r="L29" s="4">
        <v>0.33203792968750001</v>
      </c>
      <c r="M29" s="4" t="b">
        <v>0</v>
      </c>
      <c r="N29" s="4" t="s">
        <v>454</v>
      </c>
      <c r="O29" s="4" t="s">
        <v>455</v>
      </c>
      <c r="P29" s="4" t="s">
        <v>456</v>
      </c>
      <c r="R29" s="4">
        <v>24</v>
      </c>
      <c r="S29" s="4" t="s">
        <v>479</v>
      </c>
      <c r="T29" s="5">
        <v>45600.850706018522</v>
      </c>
      <c r="U29" s="4">
        <v>115</v>
      </c>
      <c r="V29" s="4">
        <v>13.33</v>
      </c>
      <c r="W29" s="4">
        <v>13.95</v>
      </c>
      <c r="X29" s="4">
        <v>14.2</v>
      </c>
      <c r="Y29" s="4">
        <v>0</v>
      </c>
      <c r="Z29" s="4">
        <v>0</v>
      </c>
      <c r="AA29" s="4">
        <v>84</v>
      </c>
      <c r="AB29" s="4">
        <v>2338</v>
      </c>
      <c r="AC29" s="4">
        <v>0.53125468750000004</v>
      </c>
      <c r="AD29" s="4" t="b">
        <v>1</v>
      </c>
      <c r="AE29" s="4" t="s">
        <v>454</v>
      </c>
      <c r="AF29" s="4" t="s">
        <v>455</v>
      </c>
      <c r="AG29" s="4" t="s">
        <v>294</v>
      </c>
    </row>
    <row r="30" spans="1:33">
      <c r="A30" s="4">
        <v>25</v>
      </c>
      <c r="B30" s="4" t="s">
        <v>184</v>
      </c>
      <c r="C30" s="5">
        <v>45595.831689814811</v>
      </c>
      <c r="D30" s="4">
        <v>116</v>
      </c>
      <c r="E30" s="4">
        <v>0.42</v>
      </c>
      <c r="F30" s="4">
        <v>0.01</v>
      </c>
      <c r="G30" s="4">
        <v>0.12</v>
      </c>
      <c r="H30" s="4">
        <v>0</v>
      </c>
      <c r="I30" s="4">
        <v>0</v>
      </c>
      <c r="J30" s="4">
        <v>13</v>
      </c>
      <c r="K30" s="4">
        <v>4833</v>
      </c>
      <c r="L30" s="4">
        <v>0.54102021484375018</v>
      </c>
      <c r="M30" s="4" t="b">
        <v>0</v>
      </c>
      <c r="N30" s="4" t="s">
        <v>454</v>
      </c>
      <c r="O30" s="4" t="s">
        <v>455</v>
      </c>
      <c r="P30" s="4" t="s">
        <v>456</v>
      </c>
      <c r="R30" s="4">
        <v>25</v>
      </c>
      <c r="S30" s="4" t="s">
        <v>480</v>
      </c>
      <c r="T30" s="5">
        <v>45593.566759259258</v>
      </c>
      <c r="U30" s="4">
        <v>116</v>
      </c>
      <c r="V30" s="4">
        <v>11.4</v>
      </c>
      <c r="W30" s="4">
        <v>14.95</v>
      </c>
      <c r="X30" s="4">
        <v>15.35</v>
      </c>
      <c r="Y30" s="4">
        <v>0</v>
      </c>
      <c r="Z30" s="4">
        <v>0</v>
      </c>
      <c r="AA30" s="4"/>
      <c r="AB30" s="4">
        <v>8</v>
      </c>
      <c r="AC30" s="4">
        <v>0.58301198242187491</v>
      </c>
      <c r="AD30" s="4" t="b">
        <v>1</v>
      </c>
      <c r="AE30" s="4" t="s">
        <v>454</v>
      </c>
      <c r="AF30" s="4" t="s">
        <v>455</v>
      </c>
      <c r="AG30" s="4" t="s">
        <v>294</v>
      </c>
    </row>
    <row r="31" spans="1:33">
      <c r="A31" s="4">
        <v>26</v>
      </c>
      <c r="B31" s="4" t="s">
        <v>185</v>
      </c>
      <c r="C31" s="5">
        <v>45595.815451388888</v>
      </c>
      <c r="D31" s="4">
        <v>117</v>
      </c>
      <c r="E31" s="4">
        <v>0.3</v>
      </c>
      <c r="F31" s="4">
        <v>0</v>
      </c>
      <c r="G31" s="4">
        <v>0.32</v>
      </c>
      <c r="H31" s="4">
        <v>0</v>
      </c>
      <c r="I31" s="4">
        <v>0</v>
      </c>
      <c r="J31" s="4">
        <v>3</v>
      </c>
      <c r="K31" s="4">
        <v>406</v>
      </c>
      <c r="L31" s="4">
        <v>0.55859816406250007</v>
      </c>
      <c r="M31" s="4" t="b">
        <v>0</v>
      </c>
      <c r="N31" s="4" t="s">
        <v>454</v>
      </c>
      <c r="O31" s="4" t="s">
        <v>455</v>
      </c>
      <c r="P31" s="4" t="s">
        <v>456</v>
      </c>
      <c r="R31" s="4">
        <v>26</v>
      </c>
      <c r="S31" s="4" t="s">
        <v>481</v>
      </c>
      <c r="T31" s="5">
        <v>45596.577118055553</v>
      </c>
      <c r="U31" s="4">
        <v>117</v>
      </c>
      <c r="V31" s="4">
        <v>16.32</v>
      </c>
      <c r="W31" s="4">
        <v>15.95</v>
      </c>
      <c r="X31" s="4">
        <v>17.8</v>
      </c>
      <c r="Y31" s="4">
        <v>0</v>
      </c>
      <c r="Z31" s="4">
        <v>0</v>
      </c>
      <c r="AA31" s="4">
        <v>1</v>
      </c>
      <c r="AB31" s="4">
        <v>0</v>
      </c>
      <c r="AC31" s="4">
        <v>0.80298048583984372</v>
      </c>
      <c r="AD31" s="4" t="b">
        <v>1</v>
      </c>
      <c r="AE31" s="4" t="s">
        <v>454</v>
      </c>
      <c r="AF31" s="4" t="s">
        <v>455</v>
      </c>
      <c r="AG31" s="4" t="s">
        <v>294</v>
      </c>
    </row>
    <row r="32" spans="1:33">
      <c r="A32" s="4">
        <v>27</v>
      </c>
      <c r="B32" s="4" t="s">
        <v>186</v>
      </c>
      <c r="C32" s="5">
        <v>45595.807719907411</v>
      </c>
      <c r="D32" s="4">
        <v>118</v>
      </c>
      <c r="E32" s="4">
        <v>0.24</v>
      </c>
      <c r="F32" s="4">
        <v>0</v>
      </c>
      <c r="G32" s="4">
        <v>0.1</v>
      </c>
      <c r="H32" s="4">
        <v>0</v>
      </c>
      <c r="I32" s="4">
        <v>0</v>
      </c>
      <c r="J32" s="4">
        <v>2</v>
      </c>
      <c r="K32" s="4">
        <v>118</v>
      </c>
      <c r="L32" s="4">
        <v>0.46484910156249998</v>
      </c>
      <c r="M32" s="4" t="b">
        <v>0</v>
      </c>
      <c r="N32" s="4" t="s">
        <v>454</v>
      </c>
      <c r="O32" s="4" t="s">
        <v>455</v>
      </c>
      <c r="P32" s="4" t="s">
        <v>456</v>
      </c>
      <c r="R32" s="4">
        <v>27</v>
      </c>
      <c r="S32" s="4" t="s">
        <v>482</v>
      </c>
      <c r="T32" s="5">
        <v>45596.693425925929</v>
      </c>
      <c r="U32" s="4">
        <v>118</v>
      </c>
      <c r="V32" s="4">
        <v>16</v>
      </c>
      <c r="W32" s="4">
        <v>16.399999999999999</v>
      </c>
      <c r="X32" s="4">
        <v>17.649999999999999</v>
      </c>
      <c r="Y32" s="4">
        <v>0</v>
      </c>
      <c r="Z32" s="4">
        <v>0</v>
      </c>
      <c r="AA32" s="4"/>
      <c r="AB32" s="4">
        <v>9</v>
      </c>
      <c r="AC32" s="4">
        <v>0.58984785156250008</v>
      </c>
      <c r="AD32" s="4" t="b">
        <v>1</v>
      </c>
      <c r="AE32" s="4" t="s">
        <v>454</v>
      </c>
      <c r="AF32" s="4" t="s">
        <v>455</v>
      </c>
      <c r="AG32" s="4" t="s">
        <v>294</v>
      </c>
    </row>
    <row r="33" spans="1:33">
      <c r="A33" s="4">
        <v>28</v>
      </c>
      <c r="B33" s="4" t="s">
        <v>187</v>
      </c>
      <c r="C33" s="5">
        <v>45590.581770833327</v>
      </c>
      <c r="D33" s="4">
        <v>119</v>
      </c>
      <c r="E33" s="4">
        <v>0.2</v>
      </c>
      <c r="F33" s="4">
        <v>0</v>
      </c>
      <c r="G33" s="4">
        <v>0.3</v>
      </c>
      <c r="H33" s="4">
        <v>0</v>
      </c>
      <c r="I33" s="4">
        <v>0</v>
      </c>
      <c r="J33" s="4">
        <v>10</v>
      </c>
      <c r="K33" s="4">
        <v>12</v>
      </c>
      <c r="L33" s="4">
        <v>0.52148916015624991</v>
      </c>
      <c r="M33" s="4" t="b">
        <v>0</v>
      </c>
      <c r="N33" s="4" t="s">
        <v>454</v>
      </c>
      <c r="O33" s="4" t="s">
        <v>455</v>
      </c>
      <c r="P33" s="4" t="s">
        <v>456</v>
      </c>
      <c r="R33" s="4">
        <v>28</v>
      </c>
      <c r="S33" s="4" t="s">
        <v>483</v>
      </c>
      <c r="U33" s="1">
        <v>119</v>
      </c>
      <c r="V33" s="1">
        <v>0</v>
      </c>
      <c r="W33" s="1">
        <v>17.3999938964844</v>
      </c>
      <c r="X33" s="1">
        <v>18.3999938964844</v>
      </c>
      <c r="Y33" s="4">
        <v>0</v>
      </c>
      <c r="Z33" s="4">
        <v>0</v>
      </c>
      <c r="AB33" s="1">
        <v>0</v>
      </c>
      <c r="AC33" s="4">
        <v>0.58984785156250008</v>
      </c>
      <c r="AD33" s="4" t="b">
        <v>1</v>
      </c>
      <c r="AE33" s="4" t="s">
        <v>454</v>
      </c>
      <c r="AF33" s="4" t="s">
        <v>455</v>
      </c>
      <c r="AG33" s="4" t="s">
        <v>294</v>
      </c>
    </row>
    <row r="34" spans="1:33">
      <c r="A34" s="4">
        <v>29</v>
      </c>
      <c r="B34" s="4" t="s">
        <v>188</v>
      </c>
      <c r="C34" s="5">
        <v>45600.843090277784</v>
      </c>
      <c r="D34" s="4">
        <v>120</v>
      </c>
      <c r="E34" s="4">
        <v>0.01</v>
      </c>
      <c r="F34" s="4">
        <v>0</v>
      </c>
      <c r="G34" s="4">
        <v>0.18</v>
      </c>
      <c r="H34" s="4">
        <v>0</v>
      </c>
      <c r="I34" s="4">
        <v>0</v>
      </c>
      <c r="J34" s="4">
        <v>159</v>
      </c>
      <c r="K34" s="4">
        <v>7533</v>
      </c>
      <c r="L34" s="4">
        <v>0.56152782226562503</v>
      </c>
      <c r="M34" s="4" t="b">
        <v>0</v>
      </c>
      <c r="N34" s="4" t="s">
        <v>454</v>
      </c>
      <c r="O34" s="4" t="s">
        <v>455</v>
      </c>
      <c r="P34" s="4" t="s">
        <v>456</v>
      </c>
      <c r="R34" s="4">
        <v>29</v>
      </c>
      <c r="S34" s="4" t="s">
        <v>484</v>
      </c>
      <c r="T34" s="5">
        <v>45600.850706018522</v>
      </c>
      <c r="U34" s="4">
        <v>120</v>
      </c>
      <c r="V34" s="4">
        <v>18.5</v>
      </c>
      <c r="W34" s="4">
        <v>19.05</v>
      </c>
      <c r="X34" s="4">
        <v>19.25</v>
      </c>
      <c r="Y34" s="4">
        <v>0</v>
      </c>
      <c r="Z34" s="4">
        <v>0</v>
      </c>
      <c r="AA34" s="4">
        <v>27</v>
      </c>
      <c r="AB34" s="4">
        <v>23</v>
      </c>
      <c r="AC34" s="4">
        <v>0.68652657226562508</v>
      </c>
      <c r="AD34" s="4" t="b">
        <v>1</v>
      </c>
      <c r="AE34" s="4" t="s">
        <v>454</v>
      </c>
      <c r="AF34" s="4" t="s">
        <v>455</v>
      </c>
      <c r="AG34" s="4" t="s">
        <v>294</v>
      </c>
    </row>
    <row r="35" spans="1:33">
      <c r="A35" s="4">
        <v>30</v>
      </c>
      <c r="B35" s="4" t="s">
        <v>189</v>
      </c>
      <c r="C35" s="5">
        <v>45601.605486111112</v>
      </c>
      <c r="D35" s="4">
        <v>121</v>
      </c>
      <c r="E35" s="4">
        <v>0.01</v>
      </c>
      <c r="F35" s="4">
        <v>0</v>
      </c>
      <c r="G35" s="4">
        <v>0.27</v>
      </c>
      <c r="H35" s="4">
        <v>-0.02</v>
      </c>
      <c r="I35" s="4">
        <v>-66.666669999999996</v>
      </c>
      <c r="J35" s="4">
        <v>1</v>
      </c>
      <c r="K35" s="4">
        <v>50</v>
      </c>
      <c r="L35" s="4">
        <v>0.55469195312500008</v>
      </c>
      <c r="M35" s="4" t="b">
        <v>0</v>
      </c>
      <c r="N35" s="4" t="s">
        <v>454</v>
      </c>
      <c r="O35" s="4" t="s">
        <v>455</v>
      </c>
      <c r="P35" s="4" t="s">
        <v>456</v>
      </c>
      <c r="R35" s="4">
        <v>30</v>
      </c>
      <c r="S35" s="4" t="s">
        <v>485</v>
      </c>
      <c r="T35" s="5">
        <v>45600.684999999998</v>
      </c>
      <c r="U35" s="4">
        <v>121</v>
      </c>
      <c r="V35" s="4">
        <v>19.399999999999999</v>
      </c>
      <c r="W35" s="4">
        <v>20</v>
      </c>
      <c r="X35" s="4">
        <v>20.3</v>
      </c>
      <c r="Y35" s="4">
        <v>0</v>
      </c>
      <c r="Z35" s="4">
        <v>0</v>
      </c>
      <c r="AA35" s="4">
        <v>2</v>
      </c>
      <c r="AB35" s="4">
        <v>0</v>
      </c>
      <c r="AC35" s="4">
        <v>0.71142866699218754</v>
      </c>
      <c r="AD35" s="4" t="b">
        <v>1</v>
      </c>
      <c r="AE35" s="4" t="s">
        <v>454</v>
      </c>
      <c r="AF35" s="4" t="s">
        <v>455</v>
      </c>
      <c r="AG35" s="4" t="s">
        <v>294</v>
      </c>
    </row>
    <row r="36" spans="1:33">
      <c r="A36" s="4">
        <v>31</v>
      </c>
      <c r="B36" s="4" t="s">
        <v>190</v>
      </c>
      <c r="C36" s="5">
        <v>45590.648333333331</v>
      </c>
      <c r="D36" s="4">
        <v>122</v>
      </c>
      <c r="E36" s="4">
        <v>0.1</v>
      </c>
      <c r="F36" s="4">
        <v>0</v>
      </c>
      <c r="G36" s="4">
        <v>0.28999999999999998</v>
      </c>
      <c r="H36" s="4">
        <v>0</v>
      </c>
      <c r="I36" s="4">
        <v>0</v>
      </c>
      <c r="J36" s="4">
        <v>2</v>
      </c>
      <c r="K36" s="4">
        <v>5</v>
      </c>
      <c r="L36" s="4">
        <v>0.58203542968749999</v>
      </c>
      <c r="M36" s="4" t="b">
        <v>0</v>
      </c>
      <c r="N36" s="4" t="s">
        <v>454</v>
      </c>
      <c r="O36" s="4" t="s">
        <v>455</v>
      </c>
      <c r="P36" s="4" t="s">
        <v>456</v>
      </c>
      <c r="R36" s="4">
        <v>31</v>
      </c>
      <c r="S36" s="4" t="s">
        <v>486</v>
      </c>
      <c r="U36" s="1">
        <v>122</v>
      </c>
      <c r="V36" s="1">
        <v>0</v>
      </c>
      <c r="W36" s="1">
        <v>19.050003051757798</v>
      </c>
      <c r="X36" s="1">
        <v>20.8500061035156</v>
      </c>
      <c r="Y36" s="4">
        <v>0</v>
      </c>
      <c r="Z36" s="4">
        <v>0</v>
      </c>
      <c r="AB36" s="1">
        <v>0</v>
      </c>
      <c r="AC36" s="4">
        <v>0.71142866699218754</v>
      </c>
      <c r="AD36" s="4" t="b">
        <v>1</v>
      </c>
      <c r="AE36" s="4" t="s">
        <v>454</v>
      </c>
      <c r="AF36" s="4" t="s">
        <v>455</v>
      </c>
      <c r="AG36" s="4" t="s">
        <v>294</v>
      </c>
    </row>
    <row r="37" spans="1:33">
      <c r="A37" s="4">
        <v>32</v>
      </c>
      <c r="B37" s="4" t="s">
        <v>191</v>
      </c>
      <c r="C37" s="5">
        <v>45601.636354166672</v>
      </c>
      <c r="D37" s="4">
        <v>125</v>
      </c>
      <c r="E37" s="4">
        <v>0.02</v>
      </c>
      <c r="F37" s="4">
        <v>0.01</v>
      </c>
      <c r="G37" s="4">
        <v>0.02</v>
      </c>
      <c r="H37" s="4">
        <v>0</v>
      </c>
      <c r="I37" s="4">
        <v>0</v>
      </c>
      <c r="J37" s="4">
        <v>30</v>
      </c>
      <c r="K37" s="4">
        <v>3922</v>
      </c>
      <c r="L37" s="4">
        <v>0.5117236328125</v>
      </c>
      <c r="M37" s="4" t="b">
        <v>0</v>
      </c>
      <c r="N37" s="4" t="s">
        <v>454</v>
      </c>
      <c r="O37" s="4" t="s">
        <v>455</v>
      </c>
      <c r="P37" s="4" t="s">
        <v>456</v>
      </c>
      <c r="R37" s="4">
        <v>32</v>
      </c>
      <c r="S37" s="4" t="s">
        <v>487</v>
      </c>
      <c r="T37" s="5">
        <v>45600.850381944438</v>
      </c>
      <c r="U37" s="4">
        <v>125</v>
      </c>
      <c r="V37" s="4">
        <v>23.45</v>
      </c>
      <c r="W37" s="4">
        <v>23.95</v>
      </c>
      <c r="X37" s="4">
        <v>24.25</v>
      </c>
      <c r="Y37" s="4">
        <v>0</v>
      </c>
      <c r="Z37" s="4">
        <v>0</v>
      </c>
      <c r="AA37" s="4">
        <v>19</v>
      </c>
      <c r="AB37" s="4">
        <v>14</v>
      </c>
      <c r="AC37" s="4">
        <v>0.78613495117187493</v>
      </c>
      <c r="AD37" s="4" t="b">
        <v>1</v>
      </c>
      <c r="AE37" s="4" t="s">
        <v>454</v>
      </c>
      <c r="AF37" s="4" t="s">
        <v>455</v>
      </c>
      <c r="AG37" s="4" t="s">
        <v>294</v>
      </c>
    </row>
    <row r="38" spans="1:33">
      <c r="A38" s="4">
        <v>33</v>
      </c>
      <c r="B38" s="4" t="s">
        <v>192</v>
      </c>
      <c r="C38" s="5">
        <v>45600.702685185177</v>
      </c>
      <c r="D38" s="4">
        <v>130</v>
      </c>
      <c r="E38" s="4">
        <v>0.01</v>
      </c>
      <c r="F38" s="4">
        <v>0</v>
      </c>
      <c r="G38" s="4">
        <v>0.04</v>
      </c>
      <c r="H38" s="4">
        <v>0</v>
      </c>
      <c r="I38" s="4">
        <v>0</v>
      </c>
      <c r="J38" s="4">
        <v>7</v>
      </c>
      <c r="K38" s="4">
        <v>1660</v>
      </c>
      <c r="L38" s="4">
        <v>0.66797207031250017</v>
      </c>
      <c r="M38" s="4" t="b">
        <v>0</v>
      </c>
      <c r="N38" s="4" t="s">
        <v>454</v>
      </c>
      <c r="O38" s="4" t="s">
        <v>455</v>
      </c>
      <c r="P38" s="4" t="s">
        <v>456</v>
      </c>
      <c r="R38" s="4">
        <v>33</v>
      </c>
      <c r="S38" s="4" t="s">
        <v>488</v>
      </c>
      <c r="T38" s="5">
        <v>45600.850706018522</v>
      </c>
      <c r="U38" s="4">
        <v>130</v>
      </c>
      <c r="V38" s="4">
        <v>28.1</v>
      </c>
      <c r="W38" s="4">
        <v>28.6</v>
      </c>
      <c r="X38" s="4">
        <v>30.5</v>
      </c>
      <c r="Y38" s="4">
        <v>0</v>
      </c>
      <c r="Z38" s="4">
        <v>0</v>
      </c>
      <c r="AA38" s="4">
        <v>22</v>
      </c>
      <c r="AB38" s="4">
        <v>20</v>
      </c>
      <c r="AC38" s="4">
        <v>1.0625046874999999</v>
      </c>
      <c r="AD38" s="4" t="b">
        <v>1</v>
      </c>
      <c r="AE38" s="4" t="s">
        <v>454</v>
      </c>
      <c r="AF38" s="4" t="s">
        <v>455</v>
      </c>
      <c r="AG38" s="4" t="s">
        <v>294</v>
      </c>
    </row>
    <row r="39" spans="1:33">
      <c r="A39" s="4">
        <v>34</v>
      </c>
      <c r="B39" s="4" t="s">
        <v>193</v>
      </c>
      <c r="C39" s="5">
        <v>45600.627835648149</v>
      </c>
      <c r="D39" s="4">
        <v>135</v>
      </c>
      <c r="E39" s="4">
        <v>0.01</v>
      </c>
      <c r="F39" s="4">
        <v>0</v>
      </c>
      <c r="G39" s="4">
        <v>0.28000000000000003</v>
      </c>
      <c r="H39" s="4">
        <v>0</v>
      </c>
      <c r="I39" s="4">
        <v>0</v>
      </c>
      <c r="J39" s="4">
        <v>2</v>
      </c>
      <c r="K39" s="4">
        <v>471</v>
      </c>
      <c r="L39" s="4">
        <v>0.82422050781249989</v>
      </c>
      <c r="M39" s="4" t="b">
        <v>0</v>
      </c>
      <c r="N39" s="4" t="s">
        <v>454</v>
      </c>
      <c r="O39" s="4" t="s">
        <v>455</v>
      </c>
      <c r="P39" s="4" t="s">
        <v>456</v>
      </c>
      <c r="R39" s="4">
        <v>34</v>
      </c>
      <c r="S39" s="4" t="s">
        <v>489</v>
      </c>
      <c r="T39" s="5">
        <v>45595.832141203697</v>
      </c>
      <c r="U39" s="4">
        <v>135</v>
      </c>
      <c r="V39" s="4">
        <v>30.38</v>
      </c>
      <c r="W39" s="4">
        <v>32.950000000000003</v>
      </c>
      <c r="X39" s="4">
        <v>35.549999999999997</v>
      </c>
      <c r="Y39" s="4">
        <v>0</v>
      </c>
      <c r="Z39" s="4">
        <v>0</v>
      </c>
      <c r="AA39" s="4"/>
      <c r="AB39" s="4">
        <v>0</v>
      </c>
      <c r="AC39" s="4">
        <v>1.065434360351563</v>
      </c>
      <c r="AD39" s="4" t="b">
        <v>1</v>
      </c>
      <c r="AE39" s="4" t="s">
        <v>454</v>
      </c>
      <c r="AF39" s="4" t="s">
        <v>455</v>
      </c>
      <c r="AG39" s="4" t="s">
        <v>294</v>
      </c>
    </row>
    <row r="40" spans="1:33">
      <c r="A40" s="4">
        <v>35</v>
      </c>
      <c r="B40" s="4" t="s">
        <v>194</v>
      </c>
      <c r="C40" s="5">
        <v>45560.830555555563</v>
      </c>
      <c r="D40" s="4">
        <v>140</v>
      </c>
      <c r="E40" s="4">
        <v>0.08</v>
      </c>
      <c r="F40" s="4">
        <v>0</v>
      </c>
      <c r="G40" s="4">
        <v>0.28999999999999998</v>
      </c>
      <c r="H40" s="4">
        <v>0</v>
      </c>
      <c r="I40" s="4">
        <v>0</v>
      </c>
      <c r="J40" s="4">
        <v>4</v>
      </c>
      <c r="K40" s="4">
        <v>17</v>
      </c>
      <c r="L40" s="4">
        <v>0.91406335937500005</v>
      </c>
      <c r="M40" s="4" t="b">
        <v>0</v>
      </c>
      <c r="N40" s="4" t="s">
        <v>454</v>
      </c>
      <c r="O40" s="4" t="s">
        <v>455</v>
      </c>
      <c r="P40" s="4" t="s">
        <v>456</v>
      </c>
      <c r="R40" s="4">
        <v>35</v>
      </c>
      <c r="S40" s="4" t="s">
        <v>490</v>
      </c>
      <c r="U40" s="1">
        <v>140</v>
      </c>
      <c r="V40" s="1">
        <v>0</v>
      </c>
      <c r="W40" s="1">
        <v>36.7999877929688</v>
      </c>
      <c r="X40" s="1">
        <v>40.5</v>
      </c>
      <c r="Y40" s="4">
        <v>0</v>
      </c>
      <c r="Z40" s="4">
        <v>0</v>
      </c>
      <c r="AB40" s="1">
        <v>0</v>
      </c>
      <c r="AC40" s="4">
        <v>1.065434360351563</v>
      </c>
      <c r="AD40" s="4" t="b">
        <v>1</v>
      </c>
      <c r="AE40" s="4" t="s">
        <v>454</v>
      </c>
      <c r="AF40" s="4" t="s">
        <v>455</v>
      </c>
      <c r="AG40" s="4" t="s">
        <v>294</v>
      </c>
    </row>
    <row r="41" spans="1:33">
      <c r="A41" s="4">
        <v>36</v>
      </c>
      <c r="B41" s="4" t="s">
        <v>195</v>
      </c>
      <c r="C41" s="5">
        <v>45558.609224537038</v>
      </c>
      <c r="D41" s="4">
        <v>145</v>
      </c>
      <c r="E41" s="4">
        <v>0.04</v>
      </c>
      <c r="F41" s="4">
        <v>0</v>
      </c>
      <c r="G41" s="4">
        <v>0.28000000000000003</v>
      </c>
      <c r="H41" s="4">
        <v>0</v>
      </c>
      <c r="I41" s="4">
        <v>0</v>
      </c>
      <c r="J41" s="4">
        <v>1</v>
      </c>
      <c r="K41" s="4">
        <v>23</v>
      </c>
      <c r="L41" s="4">
        <v>1.453616013183594</v>
      </c>
      <c r="M41" s="4" t="b">
        <v>0</v>
      </c>
      <c r="N41" s="4" t="s">
        <v>454</v>
      </c>
      <c r="O41" s="4" t="s">
        <v>455</v>
      </c>
      <c r="P41" s="4" t="s">
        <v>456</v>
      </c>
      <c r="R41" s="4">
        <v>36</v>
      </c>
      <c r="S41" s="4" t="s">
        <v>491</v>
      </c>
      <c r="T41" s="5"/>
      <c r="U41" s="4">
        <v>145</v>
      </c>
      <c r="V41" s="4">
        <v>0</v>
      </c>
      <c r="W41" s="4">
        <v>41.550003051757798</v>
      </c>
      <c r="X41" s="4">
        <v>45.5</v>
      </c>
      <c r="Y41" s="4">
        <v>0</v>
      </c>
      <c r="Z41" s="4">
        <v>0</v>
      </c>
      <c r="AA41" s="4"/>
      <c r="AB41" s="4">
        <v>0</v>
      </c>
      <c r="AC41" s="4">
        <v>1.065434360351563</v>
      </c>
      <c r="AD41" s="4" t="b">
        <v>1</v>
      </c>
      <c r="AE41" s="4" t="s">
        <v>454</v>
      </c>
      <c r="AF41" s="4" t="s">
        <v>455</v>
      </c>
      <c r="AG41" s="4" t="s">
        <v>294</v>
      </c>
    </row>
    <row r="42" spans="1:33">
      <c r="A42" s="4">
        <v>37</v>
      </c>
      <c r="B42" s="4" t="s">
        <v>196</v>
      </c>
      <c r="C42" s="5">
        <v>45548.676493055558</v>
      </c>
      <c r="D42" s="4">
        <v>150</v>
      </c>
      <c r="E42" s="4">
        <v>0.05</v>
      </c>
      <c r="F42" s="4">
        <v>0</v>
      </c>
      <c r="G42" s="4">
        <v>0.14000000000000001</v>
      </c>
      <c r="H42" s="4">
        <v>0</v>
      </c>
      <c r="I42" s="4">
        <v>0</v>
      </c>
      <c r="J42" s="4">
        <v>1</v>
      </c>
      <c r="K42" s="4">
        <v>33</v>
      </c>
      <c r="L42" s="4">
        <v>0.929688203125</v>
      </c>
      <c r="M42" s="4" t="b">
        <v>0</v>
      </c>
      <c r="N42" s="4" t="s">
        <v>454</v>
      </c>
      <c r="O42" s="4" t="s">
        <v>455</v>
      </c>
      <c r="P42" s="4" t="s">
        <v>456</v>
      </c>
      <c r="R42" s="4">
        <v>37</v>
      </c>
      <c r="S42" s="4" t="s">
        <v>492</v>
      </c>
      <c r="T42" s="5"/>
      <c r="U42" s="4">
        <v>150</v>
      </c>
      <c r="V42" s="4">
        <v>0</v>
      </c>
      <c r="W42" s="4">
        <v>46.449996948242202</v>
      </c>
      <c r="X42" s="4">
        <v>50.449996948242202</v>
      </c>
      <c r="Y42" s="4">
        <v>0</v>
      </c>
      <c r="Z42" s="4">
        <v>0</v>
      </c>
      <c r="AA42" s="4"/>
      <c r="AB42" s="4">
        <v>0</v>
      </c>
      <c r="AC42" s="4">
        <v>1.065434360351563</v>
      </c>
      <c r="AD42" s="4" t="b">
        <v>1</v>
      </c>
      <c r="AE42" s="4" t="s">
        <v>454</v>
      </c>
      <c r="AF42" s="4" t="s">
        <v>455</v>
      </c>
      <c r="AG42" s="4" t="s">
        <v>294</v>
      </c>
    </row>
    <row r="43" spans="1:33">
      <c r="A43" s="4">
        <v>38</v>
      </c>
      <c r="B43" s="4" t="s">
        <v>197</v>
      </c>
      <c r="C43" s="5">
        <v>45551.76090277778</v>
      </c>
      <c r="D43" s="4">
        <v>155</v>
      </c>
      <c r="E43" s="4">
        <v>0.08</v>
      </c>
      <c r="F43" s="4">
        <v>0</v>
      </c>
      <c r="G43" s="4">
        <v>0.28000000000000003</v>
      </c>
      <c r="H43" s="4">
        <v>0</v>
      </c>
      <c r="I43" s="4">
        <v>0</v>
      </c>
      <c r="J43" s="4">
        <v>1</v>
      </c>
      <c r="K43" s="4">
        <v>1</v>
      </c>
      <c r="L43" s="4">
        <v>1.140629296875</v>
      </c>
      <c r="M43" s="4" t="b">
        <v>0</v>
      </c>
      <c r="N43" s="4" t="s">
        <v>454</v>
      </c>
      <c r="O43" s="4" t="s">
        <v>455</v>
      </c>
      <c r="P43" s="4" t="s">
        <v>456</v>
      </c>
      <c r="R43" s="4">
        <v>38</v>
      </c>
      <c r="S43" s="4" t="s">
        <v>493</v>
      </c>
      <c r="T43" s="5"/>
      <c r="U43" s="4">
        <v>155</v>
      </c>
      <c r="V43" s="4">
        <v>0</v>
      </c>
      <c r="W43" s="4">
        <v>51.699996948242202</v>
      </c>
      <c r="X43" s="4">
        <v>55.449996948242202</v>
      </c>
      <c r="Y43" s="4">
        <v>0</v>
      </c>
      <c r="Z43" s="4">
        <v>0</v>
      </c>
      <c r="AA43" s="4"/>
      <c r="AB43" s="4">
        <v>0</v>
      </c>
      <c r="AC43" s="4">
        <v>1.065434360351563</v>
      </c>
      <c r="AD43" s="4" t="b">
        <v>1</v>
      </c>
      <c r="AE43" s="4" t="s">
        <v>454</v>
      </c>
      <c r="AF43" s="4" t="s">
        <v>455</v>
      </c>
      <c r="AG43" s="4" t="s">
        <v>294</v>
      </c>
    </row>
    <row r="44" spans="1:33">
      <c r="A44" s="4">
        <v>39</v>
      </c>
      <c r="B44" s="4" t="s">
        <v>198</v>
      </c>
      <c r="C44" s="5">
        <v>45553.695601851847</v>
      </c>
      <c r="D44" s="4">
        <v>160</v>
      </c>
      <c r="E44" s="4">
        <v>0.01</v>
      </c>
      <c r="F44" s="4">
        <v>0</v>
      </c>
      <c r="G44" s="4">
        <v>0.28000000000000003</v>
      </c>
      <c r="H44" s="4">
        <v>0</v>
      </c>
      <c r="I44" s="4">
        <v>0</v>
      </c>
      <c r="J44" s="4">
        <v>16</v>
      </c>
      <c r="K44" s="4">
        <v>22</v>
      </c>
      <c r="L44" s="4">
        <v>1.387698374023437</v>
      </c>
      <c r="M44" s="4" t="b">
        <v>0</v>
      </c>
      <c r="N44" s="4" t="s">
        <v>454</v>
      </c>
      <c r="O44" s="4" t="s">
        <v>455</v>
      </c>
      <c r="P44" s="4" t="s">
        <v>456</v>
      </c>
      <c r="R44" s="4">
        <v>39</v>
      </c>
      <c r="S44" s="4" t="s">
        <v>494</v>
      </c>
      <c r="T44" s="5"/>
      <c r="U44" s="4">
        <v>160</v>
      </c>
      <c r="V44" s="4">
        <v>0</v>
      </c>
      <c r="W44" s="4">
        <v>56.75</v>
      </c>
      <c r="X44" s="4">
        <v>60.399993896484403</v>
      </c>
      <c r="Y44" s="4">
        <v>0</v>
      </c>
      <c r="Z44" s="4">
        <v>0</v>
      </c>
      <c r="AA44" s="4"/>
      <c r="AB44" s="4">
        <v>0</v>
      </c>
      <c r="AC44" s="4">
        <v>1.065434360351563</v>
      </c>
      <c r="AD44" s="4" t="b">
        <v>1</v>
      </c>
      <c r="AE44" s="4" t="s">
        <v>454</v>
      </c>
      <c r="AF44" s="4" t="s">
        <v>455</v>
      </c>
      <c r="AG44" s="4" t="s">
        <v>294</v>
      </c>
    </row>
    <row r="45" spans="1:33">
      <c r="A45" s="4">
        <v>40</v>
      </c>
      <c r="B45" s="4" t="s">
        <v>199</v>
      </c>
      <c r="C45" s="5">
        <v>45545.747407407413</v>
      </c>
      <c r="D45" s="4">
        <v>170</v>
      </c>
      <c r="E45" s="4">
        <v>0.03</v>
      </c>
      <c r="F45" s="4">
        <v>0</v>
      </c>
      <c r="G45" s="4">
        <v>0.28000000000000003</v>
      </c>
      <c r="H45" s="4">
        <v>0</v>
      </c>
      <c r="I45" s="4">
        <v>0</v>
      </c>
      <c r="J45" s="4">
        <v>0</v>
      </c>
      <c r="K45" s="4">
        <v>0</v>
      </c>
      <c r="L45" s="4">
        <v>1.3085972070312499</v>
      </c>
      <c r="M45" s="4" t="b">
        <v>0</v>
      </c>
      <c r="N45" s="4" t="s">
        <v>454</v>
      </c>
      <c r="O45" s="4" t="s">
        <v>455</v>
      </c>
      <c r="P45" s="4" t="s">
        <v>456</v>
      </c>
      <c r="R45" s="4">
        <v>40</v>
      </c>
      <c r="S45" s="4" t="s">
        <v>495</v>
      </c>
      <c r="T45" s="5"/>
      <c r="U45" s="4">
        <v>170</v>
      </c>
      <c r="V45" s="4">
        <v>0</v>
      </c>
      <c r="W45" s="1">
        <v>66.449996948242202</v>
      </c>
      <c r="X45" s="1">
        <v>70.449996948242202</v>
      </c>
      <c r="Y45" s="4">
        <v>0</v>
      </c>
      <c r="Z45" s="4">
        <v>0</v>
      </c>
      <c r="AA45" s="4"/>
      <c r="AB45" s="4">
        <v>0</v>
      </c>
      <c r="AC45" s="4">
        <v>1.065434360351563</v>
      </c>
      <c r="AD45" s="4" t="b">
        <v>1</v>
      </c>
      <c r="AE45" s="4" t="s">
        <v>454</v>
      </c>
      <c r="AF45" s="4" t="s">
        <v>455</v>
      </c>
      <c r="AG45" s="4" t="s">
        <v>294</v>
      </c>
    </row>
    <row r="48" spans="1:33" ht="15.6">
      <c r="A48" s="447" t="s">
        <v>436</v>
      </c>
      <c r="B48" s="447"/>
      <c r="C48" s="447"/>
      <c r="D48" s="447"/>
      <c r="E48" s="447"/>
      <c r="F48" s="447"/>
      <c r="G48" s="447"/>
      <c r="H48" s="447"/>
      <c r="I48" s="447"/>
      <c r="J48" s="447"/>
      <c r="K48" s="447"/>
      <c r="L48" s="447"/>
      <c r="M48" s="447"/>
      <c r="N48" s="447"/>
      <c r="O48" s="447"/>
      <c r="P48" s="447"/>
      <c r="R48" s="447" t="s">
        <v>437</v>
      </c>
      <c r="S48" s="447"/>
      <c r="T48" s="447"/>
      <c r="U48" s="447"/>
      <c r="V48" s="447"/>
      <c r="W48" s="447"/>
      <c r="X48" s="447"/>
      <c r="Y48" s="447"/>
      <c r="Z48" s="447"/>
      <c r="AA48" s="447"/>
      <c r="AB48" s="447"/>
      <c r="AC48" s="447"/>
      <c r="AD48" s="447"/>
      <c r="AE48" s="447"/>
      <c r="AF48" s="447"/>
      <c r="AG48" s="447"/>
    </row>
    <row r="49" spans="1:33">
      <c r="A49" s="3" t="s">
        <v>438</v>
      </c>
      <c r="B49" s="3" t="s">
        <v>296</v>
      </c>
      <c r="C49" s="3" t="s">
        <v>440</v>
      </c>
      <c r="D49" s="3" t="s">
        <v>441</v>
      </c>
      <c r="E49" s="3" t="s">
        <v>442</v>
      </c>
      <c r="F49" s="3" t="s">
        <v>443</v>
      </c>
      <c r="G49" s="3" t="s">
        <v>444</v>
      </c>
      <c r="H49" s="3" t="s">
        <v>445</v>
      </c>
      <c r="I49" s="3" t="s">
        <v>446</v>
      </c>
      <c r="J49" s="3" t="s">
        <v>447</v>
      </c>
      <c r="K49" s="3" t="s">
        <v>448</v>
      </c>
      <c r="L49" s="3" t="s">
        <v>449</v>
      </c>
      <c r="M49" s="3" t="s">
        <v>450</v>
      </c>
      <c r="N49" s="3" t="s">
        <v>451</v>
      </c>
      <c r="O49" s="3" t="s">
        <v>452</v>
      </c>
      <c r="P49" s="3" t="s">
        <v>453</v>
      </c>
      <c r="R49" s="3" t="s">
        <v>438</v>
      </c>
      <c r="S49" s="3" t="s">
        <v>439</v>
      </c>
      <c r="T49" s="3" t="s">
        <v>440</v>
      </c>
      <c r="U49" s="3" t="s">
        <v>441</v>
      </c>
      <c r="V49" s="3" t="s">
        <v>442</v>
      </c>
      <c r="W49" s="3" t="s">
        <v>443</v>
      </c>
      <c r="X49" s="3" t="s">
        <v>444</v>
      </c>
      <c r="Y49" s="3" t="s">
        <v>445</v>
      </c>
      <c r="Z49" s="3" t="s">
        <v>446</v>
      </c>
      <c r="AA49" s="3" t="s">
        <v>447</v>
      </c>
      <c r="AB49" s="3" t="s">
        <v>448</v>
      </c>
      <c r="AC49" s="3" t="s">
        <v>449</v>
      </c>
      <c r="AD49" s="3" t="s">
        <v>450</v>
      </c>
      <c r="AE49" s="3" t="s">
        <v>451</v>
      </c>
      <c r="AF49" s="3" t="s">
        <v>452</v>
      </c>
      <c r="AG49" s="3" t="s">
        <v>453</v>
      </c>
    </row>
    <row r="50" spans="1:33">
      <c r="A50" s="4">
        <v>6</v>
      </c>
      <c r="B50" s="4" t="s">
        <v>156</v>
      </c>
      <c r="C50" s="5">
        <v>45601.620972222219</v>
      </c>
      <c r="D50" s="4">
        <v>95</v>
      </c>
      <c r="E50" s="4">
        <v>6.95</v>
      </c>
      <c r="F50" s="4">
        <v>6.65</v>
      </c>
      <c r="G50" s="4">
        <v>6.95</v>
      </c>
      <c r="H50" s="4">
        <v>-0.96999979999999997</v>
      </c>
      <c r="I50" s="4">
        <v>-13.342501</v>
      </c>
      <c r="J50" s="4">
        <v>7</v>
      </c>
      <c r="K50" s="4">
        <v>68</v>
      </c>
      <c r="L50" s="4">
        <v>0.25391371093749998</v>
      </c>
      <c r="M50" s="4" t="b">
        <v>1</v>
      </c>
      <c r="N50" s="4" t="s">
        <v>454</v>
      </c>
      <c r="O50" s="4" t="s">
        <v>455</v>
      </c>
      <c r="P50" s="4" t="s">
        <v>456</v>
      </c>
      <c r="R50" s="4">
        <v>6</v>
      </c>
      <c r="S50" s="4" t="s">
        <v>462</v>
      </c>
      <c r="T50" s="5">
        <v>45601.645902777767</v>
      </c>
      <c r="U50" s="4">
        <v>95</v>
      </c>
      <c r="V50" s="4">
        <v>0.32</v>
      </c>
      <c r="W50" s="4">
        <v>0</v>
      </c>
      <c r="X50" s="4">
        <v>0.33</v>
      </c>
      <c r="Y50" s="4">
        <v>-2.0000009999999999E-2</v>
      </c>
      <c r="Z50" s="4">
        <v>-5.8823556999999997</v>
      </c>
      <c r="AA50" s="4">
        <v>3</v>
      </c>
      <c r="AB50" s="4">
        <v>1531</v>
      </c>
      <c r="AC50" s="4">
        <v>0.31934274414062491</v>
      </c>
      <c r="AD50" s="4" t="b">
        <v>0</v>
      </c>
      <c r="AE50" s="4" t="s">
        <v>454</v>
      </c>
      <c r="AF50" s="4" t="s">
        <v>455</v>
      </c>
      <c r="AG50" s="4" t="s">
        <v>294</v>
      </c>
    </row>
    <row r="51" spans="1:33">
      <c r="A51" s="4">
        <v>7</v>
      </c>
      <c r="B51" s="4" t="s">
        <v>158</v>
      </c>
      <c r="C51" s="5">
        <v>45597.675428240742</v>
      </c>
      <c r="D51" s="4">
        <v>98</v>
      </c>
      <c r="E51" s="4">
        <v>4.2</v>
      </c>
      <c r="F51" s="4">
        <v>4.1500000000000004</v>
      </c>
      <c r="G51" s="4">
        <v>4.3</v>
      </c>
      <c r="H51" s="4">
        <v>0</v>
      </c>
      <c r="I51" s="4">
        <v>0</v>
      </c>
      <c r="J51" s="4">
        <v>3</v>
      </c>
      <c r="K51" s="4">
        <v>54</v>
      </c>
      <c r="L51" s="4">
        <v>0.25733164550781251</v>
      </c>
      <c r="M51" s="4" t="b">
        <v>1</v>
      </c>
      <c r="N51" s="4" t="s">
        <v>454</v>
      </c>
      <c r="O51" s="4" t="s">
        <v>455</v>
      </c>
      <c r="P51" s="4" t="s">
        <v>456</v>
      </c>
      <c r="R51" s="4">
        <v>7</v>
      </c>
      <c r="S51" s="4" t="s">
        <v>463</v>
      </c>
      <c r="T51" s="5">
        <v>45601.634016203701</v>
      </c>
      <c r="U51" s="4">
        <v>98</v>
      </c>
      <c r="V51" s="4">
        <v>0.81</v>
      </c>
      <c r="W51" s="4">
        <v>0.08</v>
      </c>
      <c r="X51" s="4">
        <v>0.26</v>
      </c>
      <c r="Y51" s="4">
        <v>6.9999989999999998E-2</v>
      </c>
      <c r="Z51" s="4">
        <v>9.4594579999999997</v>
      </c>
      <c r="AA51" s="4">
        <v>1</v>
      </c>
      <c r="AB51" s="4">
        <v>386</v>
      </c>
      <c r="AC51" s="4">
        <v>0.29785858398437493</v>
      </c>
      <c r="AD51" s="4" t="b">
        <v>0</v>
      </c>
      <c r="AE51" s="4" t="s">
        <v>454</v>
      </c>
      <c r="AF51" s="4" t="s">
        <v>455</v>
      </c>
      <c r="AG51" s="4" t="s">
        <v>294</v>
      </c>
    </row>
    <row r="52" spans="1:33">
      <c r="A52" s="4">
        <v>8</v>
      </c>
      <c r="B52" s="4" t="s">
        <v>159</v>
      </c>
      <c r="C52" s="5">
        <v>45600.628958333327</v>
      </c>
      <c r="D52" s="4">
        <v>99</v>
      </c>
      <c r="E52" s="4">
        <v>3.25</v>
      </c>
      <c r="F52" s="4">
        <v>3.4</v>
      </c>
      <c r="G52" s="4">
        <v>3.55</v>
      </c>
      <c r="H52" s="4">
        <v>-0.52</v>
      </c>
      <c r="I52" s="4">
        <v>-13.793103</v>
      </c>
      <c r="J52" s="4">
        <v>7</v>
      </c>
      <c r="K52" s="4">
        <v>147</v>
      </c>
      <c r="L52" s="4">
        <v>0.26172613281250001</v>
      </c>
      <c r="M52" s="4" t="b">
        <v>1</v>
      </c>
      <c r="N52" s="4" t="s">
        <v>454</v>
      </c>
      <c r="O52" s="4" t="s">
        <v>455</v>
      </c>
      <c r="P52" s="4" t="s">
        <v>456</v>
      </c>
      <c r="R52" s="4">
        <v>8</v>
      </c>
      <c r="S52" s="4" t="s">
        <v>464</v>
      </c>
      <c r="T52" s="5">
        <v>45600.780185185176</v>
      </c>
      <c r="U52" s="4">
        <v>99</v>
      </c>
      <c r="V52" s="4">
        <v>1.08</v>
      </c>
      <c r="W52" s="4">
        <v>0.98</v>
      </c>
      <c r="X52" s="4">
        <v>1.08</v>
      </c>
      <c r="Y52" s="4">
        <v>6.0000062E-2</v>
      </c>
      <c r="Z52" s="4">
        <v>5.8823590000000001</v>
      </c>
      <c r="AA52" s="4">
        <v>8</v>
      </c>
      <c r="AB52" s="4">
        <v>179</v>
      </c>
      <c r="AC52" s="4">
        <v>0.2924875439453124</v>
      </c>
      <c r="AD52" s="4" t="b">
        <v>0</v>
      </c>
      <c r="AE52" s="4" t="s">
        <v>454</v>
      </c>
      <c r="AF52" s="4" t="s">
        <v>455</v>
      </c>
      <c r="AG52" s="4" t="s">
        <v>294</v>
      </c>
    </row>
    <row r="53" spans="1:33">
      <c r="A53" s="4">
        <v>9</v>
      </c>
      <c r="B53" s="4" t="s">
        <v>160</v>
      </c>
      <c r="C53" s="5">
        <v>45601.636006944442</v>
      </c>
      <c r="D53" s="4">
        <v>100</v>
      </c>
      <c r="E53" s="4">
        <v>2.35</v>
      </c>
      <c r="F53" s="4">
        <v>2.73</v>
      </c>
      <c r="G53" s="4">
        <v>2.84</v>
      </c>
      <c r="H53" s="4">
        <v>-0.37000011999999999</v>
      </c>
      <c r="I53" s="4">
        <v>-13.602945</v>
      </c>
      <c r="J53" s="4">
        <v>8</v>
      </c>
      <c r="K53" s="4">
        <v>357</v>
      </c>
      <c r="L53" s="4">
        <v>0.25220474365234369</v>
      </c>
      <c r="M53" s="4" t="b">
        <v>1</v>
      </c>
      <c r="N53" s="4" t="s">
        <v>454</v>
      </c>
      <c r="O53" s="4" t="s">
        <v>455</v>
      </c>
      <c r="P53" s="4" t="s">
        <v>456</v>
      </c>
      <c r="R53" s="4">
        <v>9</v>
      </c>
      <c r="S53" s="4" t="s">
        <v>465</v>
      </c>
      <c r="T53" s="5">
        <v>45601.640057870369</v>
      </c>
      <c r="U53" s="4">
        <v>100</v>
      </c>
      <c r="V53" s="4">
        <v>1.46</v>
      </c>
      <c r="W53" s="4">
        <v>1.38</v>
      </c>
      <c r="X53" s="4">
        <v>1.44</v>
      </c>
      <c r="Y53" s="4">
        <v>0.21000004</v>
      </c>
      <c r="Z53" s="4">
        <v>16.800003</v>
      </c>
      <c r="AA53" s="4">
        <v>38</v>
      </c>
      <c r="AB53" s="4">
        <v>27767</v>
      </c>
      <c r="AC53" s="4">
        <v>0.29102271484374992</v>
      </c>
      <c r="AD53" s="4" t="b">
        <v>0</v>
      </c>
      <c r="AE53" s="4" t="s">
        <v>454</v>
      </c>
      <c r="AF53" s="4" t="s">
        <v>455</v>
      </c>
      <c r="AG53" s="4" t="s">
        <v>294</v>
      </c>
    </row>
    <row r="54" spans="1:33">
      <c r="A54" s="4">
        <v>10</v>
      </c>
      <c r="B54" s="4" t="s">
        <v>161</v>
      </c>
      <c r="C54" s="5">
        <v>45601.643564814818</v>
      </c>
      <c r="D54" s="4">
        <v>101</v>
      </c>
      <c r="E54" s="4">
        <v>1.87</v>
      </c>
      <c r="F54" s="4">
        <v>2.11</v>
      </c>
      <c r="G54" s="4">
        <v>2.21</v>
      </c>
      <c r="H54" s="4">
        <v>-0.6</v>
      </c>
      <c r="I54" s="4">
        <v>-24.291499999999999</v>
      </c>
      <c r="J54" s="4">
        <v>16</v>
      </c>
      <c r="K54" s="4">
        <v>1037</v>
      </c>
      <c r="L54" s="4">
        <v>0.26709717285156248</v>
      </c>
      <c r="M54" s="4" t="b">
        <v>1</v>
      </c>
      <c r="N54" s="4" t="s">
        <v>454</v>
      </c>
      <c r="O54" s="4" t="s">
        <v>455</v>
      </c>
      <c r="P54" s="4" t="s">
        <v>456</v>
      </c>
      <c r="R54" s="4">
        <v>10</v>
      </c>
      <c r="S54" s="4" t="s">
        <v>466</v>
      </c>
      <c r="T54" s="5">
        <v>45601.644224537027</v>
      </c>
      <c r="U54" s="4">
        <v>101</v>
      </c>
      <c r="V54" s="4">
        <v>1.82</v>
      </c>
      <c r="W54" s="4">
        <v>1.74</v>
      </c>
      <c r="X54" s="4">
        <v>1.88</v>
      </c>
      <c r="Y54" s="4">
        <v>0.29000007999999999</v>
      </c>
      <c r="Z54" s="4">
        <v>18.954253999999999</v>
      </c>
      <c r="AA54" s="4">
        <v>1</v>
      </c>
      <c r="AB54" s="4">
        <v>715</v>
      </c>
      <c r="AC54" s="4">
        <v>0.29004616210937489</v>
      </c>
      <c r="AD54" s="4" t="b">
        <v>0</v>
      </c>
      <c r="AE54" s="4" t="s">
        <v>454</v>
      </c>
      <c r="AF54" s="4" t="s">
        <v>455</v>
      </c>
      <c r="AG54" s="4" t="s">
        <v>294</v>
      </c>
    </row>
    <row r="55" spans="1:33">
      <c r="A55" s="4">
        <v>11</v>
      </c>
      <c r="B55" s="7" t="s">
        <v>163</v>
      </c>
      <c r="C55" s="8">
        <v>45601.617951388893</v>
      </c>
      <c r="D55" s="7">
        <v>102</v>
      </c>
      <c r="E55" s="7">
        <v>1.69</v>
      </c>
      <c r="F55" s="7">
        <v>1.6</v>
      </c>
      <c r="G55" s="7">
        <v>1.66</v>
      </c>
      <c r="H55" s="7">
        <v>-0.57000004999999998</v>
      </c>
      <c r="I55" s="7">
        <v>-28.643217</v>
      </c>
      <c r="J55" s="7">
        <v>41</v>
      </c>
      <c r="K55" s="7">
        <v>789</v>
      </c>
      <c r="L55" s="7">
        <v>0.26343510009765619</v>
      </c>
      <c r="M55" s="7" t="b">
        <v>0</v>
      </c>
      <c r="N55" s="7" t="s">
        <v>454</v>
      </c>
      <c r="O55" s="7" t="s">
        <v>455</v>
      </c>
      <c r="P55" s="7" t="s">
        <v>456</v>
      </c>
      <c r="R55" s="7">
        <v>11</v>
      </c>
      <c r="S55" s="7" t="s">
        <v>433</v>
      </c>
      <c r="T55" s="8">
        <v>45601.642557870371</v>
      </c>
      <c r="U55" s="7">
        <v>102</v>
      </c>
      <c r="V55" s="7">
        <v>2.39</v>
      </c>
      <c r="W55" s="7">
        <v>2.2999999999999998</v>
      </c>
      <c r="X55" s="7">
        <v>2.41</v>
      </c>
      <c r="Y55" s="7">
        <v>0.38000010000000001</v>
      </c>
      <c r="Z55" s="7">
        <v>18.905477999999999</v>
      </c>
      <c r="AA55" s="7">
        <v>6</v>
      </c>
      <c r="AB55" s="7">
        <v>380</v>
      </c>
      <c r="AC55" s="7">
        <v>0.29077857666015622</v>
      </c>
      <c r="AD55" s="7" t="b">
        <v>1</v>
      </c>
      <c r="AE55" s="7" t="s">
        <v>454</v>
      </c>
      <c r="AF55" s="7" t="s">
        <v>455</v>
      </c>
      <c r="AG55" s="7" t="s">
        <v>294</v>
      </c>
    </row>
    <row r="56" spans="1:33">
      <c r="A56" s="4">
        <v>12</v>
      </c>
      <c r="B56" s="4" t="s">
        <v>164</v>
      </c>
      <c r="C56" s="5">
        <v>45601.641770833332</v>
      </c>
      <c r="D56" s="4">
        <v>103</v>
      </c>
      <c r="E56" s="1">
        <v>1.27</v>
      </c>
      <c r="F56" s="4">
        <v>1.17</v>
      </c>
      <c r="G56" s="4">
        <v>1.22</v>
      </c>
      <c r="H56" s="4">
        <v>-0.43000007000000001</v>
      </c>
      <c r="I56" s="4">
        <v>-29.452058999999998</v>
      </c>
      <c r="J56" s="4">
        <v>19</v>
      </c>
      <c r="K56" s="4">
        <v>438</v>
      </c>
      <c r="L56" s="4">
        <v>0.25293715820312501</v>
      </c>
      <c r="M56" s="4" t="b">
        <v>0</v>
      </c>
      <c r="N56" s="4" t="s">
        <v>454</v>
      </c>
      <c r="O56" s="4" t="s">
        <v>455</v>
      </c>
      <c r="P56" s="4" t="s">
        <v>456</v>
      </c>
      <c r="R56" s="4">
        <v>12</v>
      </c>
      <c r="S56" s="4" t="s">
        <v>467</v>
      </c>
      <c r="T56" s="5">
        <v>45600.866087962961</v>
      </c>
      <c r="U56" s="4">
        <v>103</v>
      </c>
      <c r="V56" s="4">
        <v>3.3</v>
      </c>
      <c r="W56" s="4">
        <v>2.79</v>
      </c>
      <c r="X56" s="4">
        <v>3.1</v>
      </c>
      <c r="Y56" s="4">
        <v>0.78</v>
      </c>
      <c r="Z56" s="4">
        <v>30.952380999999999</v>
      </c>
      <c r="AA56" s="4">
        <v>2</v>
      </c>
      <c r="AB56" s="4">
        <v>314</v>
      </c>
      <c r="AC56" s="4">
        <v>0.30396203857421872</v>
      </c>
      <c r="AD56" s="4" t="b">
        <v>1</v>
      </c>
      <c r="AE56" s="4" t="s">
        <v>454</v>
      </c>
      <c r="AF56" s="4" t="s">
        <v>455</v>
      </c>
      <c r="AG56" s="4" t="s">
        <v>294</v>
      </c>
    </row>
    <row r="57" spans="1:33">
      <c r="A57" s="4">
        <v>13</v>
      </c>
      <c r="B57" s="4" t="s">
        <v>166</v>
      </c>
      <c r="C57" s="5">
        <v>45601.618483796286</v>
      </c>
      <c r="D57" s="4">
        <v>104</v>
      </c>
      <c r="E57" s="1">
        <v>0.87</v>
      </c>
      <c r="F57" s="4">
        <v>0.82</v>
      </c>
      <c r="G57" s="4">
        <v>0.87</v>
      </c>
      <c r="H57" s="4">
        <v>-0.44999992999999999</v>
      </c>
      <c r="I57" s="4">
        <v>-38.461533000000003</v>
      </c>
      <c r="J57" s="4">
        <v>2</v>
      </c>
      <c r="K57" s="4">
        <v>396</v>
      </c>
      <c r="L57" s="4">
        <v>0.25879647460937499</v>
      </c>
      <c r="M57" s="4" t="b">
        <v>0</v>
      </c>
      <c r="N57" s="4" t="s">
        <v>454</v>
      </c>
      <c r="O57" s="4" t="s">
        <v>455</v>
      </c>
      <c r="P57" s="4" t="s">
        <v>456</v>
      </c>
      <c r="R57" s="4">
        <v>13</v>
      </c>
      <c r="S57" s="4" t="s">
        <v>468</v>
      </c>
      <c r="T57" s="5">
        <v>45601.645949074067</v>
      </c>
      <c r="U57" s="4">
        <v>104</v>
      </c>
      <c r="V57" s="4">
        <v>3.7</v>
      </c>
      <c r="W57" s="4">
        <v>3.65</v>
      </c>
      <c r="X57" s="4">
        <v>3.75</v>
      </c>
      <c r="Y57" s="4">
        <v>0.5</v>
      </c>
      <c r="Z57" s="4">
        <v>15.625</v>
      </c>
      <c r="AA57" s="4">
        <v>2</v>
      </c>
      <c r="AB57" s="4">
        <v>1695</v>
      </c>
      <c r="AC57" s="4">
        <v>0.30127651855468751</v>
      </c>
      <c r="AD57" s="4" t="b">
        <v>1</v>
      </c>
      <c r="AE57" s="4" t="s">
        <v>454</v>
      </c>
      <c r="AF57" s="4" t="s">
        <v>455</v>
      </c>
      <c r="AG57" s="4" t="s">
        <v>294</v>
      </c>
    </row>
    <row r="58" spans="1:33">
      <c r="A58" s="4">
        <v>14</v>
      </c>
      <c r="B58" s="4" t="s">
        <v>169</v>
      </c>
      <c r="C58" s="5">
        <v>45601.646840277783</v>
      </c>
      <c r="D58" s="4">
        <v>105</v>
      </c>
      <c r="E58" s="4">
        <v>0.52</v>
      </c>
      <c r="F58" s="4">
        <v>0.56999999999999995</v>
      </c>
      <c r="G58" s="4">
        <v>0.61</v>
      </c>
      <c r="H58" s="4">
        <v>-0.3</v>
      </c>
      <c r="I58" s="4">
        <v>-36.585369999999998</v>
      </c>
      <c r="J58" s="4">
        <v>475</v>
      </c>
      <c r="K58" s="4">
        <v>4186</v>
      </c>
      <c r="L58" s="4">
        <v>0.25879647460937499</v>
      </c>
      <c r="M58" s="4" t="b">
        <v>0</v>
      </c>
      <c r="N58" s="4" t="s">
        <v>454</v>
      </c>
      <c r="O58" s="4" t="s">
        <v>455</v>
      </c>
      <c r="P58" s="4" t="s">
        <v>456</v>
      </c>
      <c r="R58" s="4">
        <v>14</v>
      </c>
      <c r="S58" s="4" t="s">
        <v>469</v>
      </c>
      <c r="T58" s="5">
        <v>45601.622476851851</v>
      </c>
      <c r="U58" s="4">
        <v>105</v>
      </c>
      <c r="V58" s="4">
        <v>4.57</v>
      </c>
      <c r="W58" s="4">
        <v>4.45</v>
      </c>
      <c r="X58" s="4">
        <v>4.5999999999999996</v>
      </c>
      <c r="Y58" s="4">
        <v>0.80000020000000005</v>
      </c>
      <c r="Z58" s="4">
        <v>21.220162999999999</v>
      </c>
      <c r="AA58" s="4">
        <v>7</v>
      </c>
      <c r="AB58" s="4">
        <v>4771</v>
      </c>
      <c r="AC58" s="4">
        <v>0.32178412597656247</v>
      </c>
      <c r="AD58" s="4" t="b">
        <v>1</v>
      </c>
      <c r="AE58" s="4" t="s">
        <v>454</v>
      </c>
      <c r="AF58" s="4" t="s">
        <v>455</v>
      </c>
      <c r="AG58" s="4" t="s">
        <v>294</v>
      </c>
    </row>
    <row r="59" spans="1:33">
      <c r="A59" s="4">
        <v>15</v>
      </c>
      <c r="B59" s="4" t="s">
        <v>171</v>
      </c>
      <c r="C59" s="5">
        <v>45601.645543981482</v>
      </c>
      <c r="D59" s="4">
        <v>106</v>
      </c>
      <c r="E59" s="4">
        <v>0.35</v>
      </c>
      <c r="F59" s="4">
        <v>0.39</v>
      </c>
      <c r="G59" s="4">
        <v>0.42</v>
      </c>
      <c r="H59" s="4">
        <v>-0.27</v>
      </c>
      <c r="I59" s="4">
        <v>-43.548389999999998</v>
      </c>
      <c r="J59" s="4">
        <v>29</v>
      </c>
      <c r="K59" s="4">
        <v>1524</v>
      </c>
      <c r="L59" s="4">
        <v>0.26270268554687498</v>
      </c>
      <c r="M59" s="4" t="b">
        <v>0</v>
      </c>
      <c r="N59" s="4" t="s">
        <v>454</v>
      </c>
      <c r="O59" s="4" t="s">
        <v>455</v>
      </c>
      <c r="P59" s="4" t="s">
        <v>456</v>
      </c>
      <c r="R59" s="4">
        <v>15</v>
      </c>
      <c r="S59" s="4" t="s">
        <v>470</v>
      </c>
      <c r="T59" s="5">
        <v>45600.763067129628</v>
      </c>
      <c r="U59" s="4">
        <v>106</v>
      </c>
      <c r="V59" s="4">
        <v>5.0999999999999996</v>
      </c>
      <c r="W59" s="4">
        <v>5</v>
      </c>
      <c r="X59" s="4">
        <v>5.4</v>
      </c>
      <c r="Y59" s="4">
        <v>0</v>
      </c>
      <c r="Z59" s="4">
        <v>0</v>
      </c>
      <c r="AA59" s="4">
        <v>3</v>
      </c>
      <c r="AB59" s="4">
        <v>778</v>
      </c>
      <c r="AC59" s="4">
        <v>0.32691102783203119</v>
      </c>
      <c r="AD59" s="4" t="b">
        <v>1</v>
      </c>
      <c r="AE59" s="4" t="s">
        <v>454</v>
      </c>
      <c r="AF59" s="4" t="s">
        <v>455</v>
      </c>
      <c r="AG59" s="4" t="s">
        <v>294</v>
      </c>
    </row>
    <row r="60" spans="1:33">
      <c r="A60" s="4">
        <v>16</v>
      </c>
      <c r="B60" s="4" t="s">
        <v>173</v>
      </c>
      <c r="C60" s="5">
        <v>45600.874849537038</v>
      </c>
      <c r="D60" s="4">
        <v>107</v>
      </c>
      <c r="E60" s="4">
        <v>0.37</v>
      </c>
      <c r="F60" s="4">
        <v>0.24</v>
      </c>
      <c r="G60" s="4">
        <v>0.28999999999999998</v>
      </c>
      <c r="H60" s="4">
        <v>-6.9999989999999998E-2</v>
      </c>
      <c r="I60" s="4">
        <v>-15.909089</v>
      </c>
      <c r="J60" s="4">
        <v>2</v>
      </c>
      <c r="K60" s="4">
        <v>751</v>
      </c>
      <c r="L60" s="4">
        <v>0.30908894042968749</v>
      </c>
      <c r="M60" s="4" t="b">
        <v>0</v>
      </c>
      <c r="N60" s="4" t="s">
        <v>454</v>
      </c>
      <c r="O60" s="4" t="s">
        <v>455</v>
      </c>
      <c r="P60" s="4" t="s">
        <v>456</v>
      </c>
      <c r="R60" s="4">
        <v>16</v>
      </c>
      <c r="S60" s="4" t="s">
        <v>471</v>
      </c>
      <c r="T60" s="5">
        <v>45600.724027777767</v>
      </c>
      <c r="U60" s="4">
        <v>107</v>
      </c>
      <c r="V60" s="4">
        <v>6</v>
      </c>
      <c r="W60" s="4">
        <v>5.75</v>
      </c>
      <c r="X60" s="4">
        <v>6.4</v>
      </c>
      <c r="Y60" s="4">
        <v>0</v>
      </c>
      <c r="Z60" s="4">
        <v>0</v>
      </c>
      <c r="AA60" s="4">
        <v>20</v>
      </c>
      <c r="AB60" s="4">
        <v>932</v>
      </c>
      <c r="AC60" s="4">
        <v>0.36524072265625002</v>
      </c>
      <c r="AD60" s="4" t="b">
        <v>1</v>
      </c>
      <c r="AE60" s="4" t="s">
        <v>454</v>
      </c>
      <c r="AF60" s="4" t="s">
        <v>455</v>
      </c>
      <c r="AG60" s="4" t="s">
        <v>294</v>
      </c>
    </row>
    <row r="61" spans="1:33">
      <c r="A61" s="4">
        <v>19</v>
      </c>
      <c r="B61" s="4" t="s">
        <v>178</v>
      </c>
      <c r="C61" s="5">
        <v>45601.63554398148</v>
      </c>
      <c r="D61" s="4">
        <v>110</v>
      </c>
      <c r="E61" s="4">
        <v>0.08</v>
      </c>
      <c r="F61" s="4">
        <v>0.09</v>
      </c>
      <c r="G61" s="4">
        <v>0.12</v>
      </c>
      <c r="H61" s="4">
        <v>-7.0000010000000001E-2</v>
      </c>
      <c r="I61" s="4">
        <v>-46.666670000000003</v>
      </c>
      <c r="J61" s="4">
        <v>22</v>
      </c>
      <c r="K61" s="4">
        <v>4034</v>
      </c>
      <c r="L61" s="4">
        <v>0.28223374023437497</v>
      </c>
      <c r="M61" s="4" t="b">
        <v>0</v>
      </c>
      <c r="N61" s="4" t="s">
        <v>454</v>
      </c>
      <c r="O61" s="4" t="s">
        <v>455</v>
      </c>
      <c r="P61" s="4" t="s">
        <v>456</v>
      </c>
      <c r="R61" s="4">
        <v>19</v>
      </c>
      <c r="S61" s="4" t="s">
        <v>474</v>
      </c>
      <c r="T61" s="5">
        <v>45601.622476851851</v>
      </c>
      <c r="U61" s="4">
        <v>110</v>
      </c>
      <c r="V61" s="4">
        <v>9.1999999999999993</v>
      </c>
      <c r="W61" s="4">
        <v>9.0500000000000007</v>
      </c>
      <c r="X61" s="4">
        <v>9.3000000000000007</v>
      </c>
      <c r="Y61" s="4">
        <v>0.75</v>
      </c>
      <c r="Z61" s="4">
        <v>8.8757400000000004</v>
      </c>
      <c r="AA61" s="4">
        <v>4</v>
      </c>
      <c r="AB61" s="4">
        <v>17315</v>
      </c>
      <c r="AC61" s="4">
        <v>0.44775942871093738</v>
      </c>
      <c r="AD61" s="4" t="b">
        <v>1</v>
      </c>
      <c r="AE61" s="4" t="s">
        <v>454</v>
      </c>
      <c r="AF61" s="4" t="s">
        <v>455</v>
      </c>
      <c r="AG61" s="4" t="s">
        <v>294</v>
      </c>
    </row>
    <row r="62" spans="1:33">
      <c r="A62" s="4">
        <v>23</v>
      </c>
      <c r="B62" s="4" t="s">
        <v>182</v>
      </c>
      <c r="C62" s="5">
        <v>45600.707881944443</v>
      </c>
      <c r="D62" s="4">
        <v>114</v>
      </c>
      <c r="E62" s="4">
        <v>0.03</v>
      </c>
      <c r="F62" s="4">
        <v>0.02</v>
      </c>
      <c r="G62" s="4">
        <v>0.12</v>
      </c>
      <c r="H62" s="4">
        <v>0</v>
      </c>
      <c r="I62" s="4">
        <v>0</v>
      </c>
      <c r="J62" s="4">
        <v>68</v>
      </c>
      <c r="K62" s="4">
        <v>528</v>
      </c>
      <c r="L62" s="4">
        <v>0.39649041015624997</v>
      </c>
      <c r="M62" s="4" t="b">
        <v>0</v>
      </c>
      <c r="N62" s="4" t="s">
        <v>454</v>
      </c>
      <c r="O62" s="4" t="s">
        <v>455</v>
      </c>
      <c r="P62" s="4" t="s">
        <v>456</v>
      </c>
      <c r="R62" s="4">
        <v>23</v>
      </c>
      <c r="S62" s="4" t="s">
        <v>478</v>
      </c>
      <c r="T62" s="5">
        <v>45587.606249999997</v>
      </c>
      <c r="U62" s="4">
        <v>114</v>
      </c>
      <c r="V62" s="4">
        <v>8.27</v>
      </c>
      <c r="W62" s="4">
        <v>12.95</v>
      </c>
      <c r="X62" s="4">
        <v>13.25</v>
      </c>
      <c r="Y62" s="4">
        <v>0</v>
      </c>
      <c r="Z62" s="4">
        <v>0</v>
      </c>
      <c r="AA62" s="4"/>
      <c r="AB62" s="4">
        <v>0</v>
      </c>
      <c r="AC62" s="4">
        <v>0.51221190917968751</v>
      </c>
      <c r="AD62" s="4" t="b">
        <v>1</v>
      </c>
      <c r="AE62" s="4" t="s">
        <v>454</v>
      </c>
      <c r="AF62" s="4" t="s">
        <v>455</v>
      </c>
      <c r="AG62" s="4" t="s">
        <v>294</v>
      </c>
    </row>
    <row r="63" spans="1:33">
      <c r="A63" s="4">
        <v>33</v>
      </c>
      <c r="B63" s="4" t="s">
        <v>192</v>
      </c>
      <c r="C63" s="5">
        <v>45600.702685185177</v>
      </c>
      <c r="D63" s="4">
        <v>130</v>
      </c>
      <c r="E63" s="4">
        <v>0.01</v>
      </c>
      <c r="F63" s="4">
        <v>0</v>
      </c>
      <c r="G63" s="4">
        <v>0.04</v>
      </c>
      <c r="H63" s="4">
        <v>0</v>
      </c>
      <c r="I63" s="4">
        <v>0</v>
      </c>
      <c r="J63" s="4">
        <v>7</v>
      </c>
      <c r="K63" s="4">
        <v>1660</v>
      </c>
      <c r="L63" s="4">
        <v>0.66797207031250017</v>
      </c>
      <c r="M63" s="4" t="b">
        <v>0</v>
      </c>
      <c r="N63" s="4" t="s">
        <v>454</v>
      </c>
      <c r="O63" s="4" t="s">
        <v>455</v>
      </c>
      <c r="P63" s="4" t="s">
        <v>456</v>
      </c>
      <c r="R63" s="4">
        <v>33</v>
      </c>
      <c r="S63" s="4" t="s">
        <v>488</v>
      </c>
      <c r="T63" s="5">
        <v>45600.850706018522</v>
      </c>
      <c r="U63" s="4">
        <v>130</v>
      </c>
      <c r="V63" s="4">
        <v>28.1</v>
      </c>
      <c r="W63" s="4">
        <v>28.6</v>
      </c>
      <c r="X63" s="4">
        <v>30.5</v>
      </c>
      <c r="Y63" s="4">
        <v>0</v>
      </c>
      <c r="Z63" s="4">
        <v>0</v>
      </c>
      <c r="AA63" s="4">
        <v>22</v>
      </c>
      <c r="AB63" s="4">
        <v>20</v>
      </c>
      <c r="AC63" s="4">
        <v>1.0625046874999999</v>
      </c>
      <c r="AD63" s="4" t="b">
        <v>1</v>
      </c>
      <c r="AE63" s="4" t="s">
        <v>454</v>
      </c>
      <c r="AF63" s="4" t="s">
        <v>455</v>
      </c>
      <c r="AG63" s="4" t="s">
        <v>294</v>
      </c>
    </row>
  </sheetData>
  <autoFilter ref="A5:AG45" xr:uid="{7BF66CCB-22B6-4BAC-8237-94AB6F0BECD7}"/>
  <mergeCells count="4">
    <mergeCell ref="A4:P4"/>
    <mergeCell ref="R4:AG4"/>
    <mergeCell ref="A48:P48"/>
    <mergeCell ref="R48:AG48"/>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C85BE-4F6B-4737-9C5D-59F44409899C}">
  <dimension ref="A1:N73"/>
  <sheetViews>
    <sheetView showGridLines="0" topLeftCell="A60" workbookViewId="0">
      <selection activeCell="A47" sqref="A47:XFD47"/>
    </sheetView>
  </sheetViews>
  <sheetFormatPr defaultColWidth="8.85546875" defaultRowHeight="13.9"/>
  <cols>
    <col min="1" max="1" width="9.140625" style="62" bestFit="1" customWidth="1"/>
    <col min="2" max="2" width="29.28515625" style="62" bestFit="1" customWidth="1"/>
    <col min="3" max="6" width="17" style="62" bestFit="1" customWidth="1"/>
    <col min="7" max="8" width="9.140625" style="62" bestFit="1" customWidth="1"/>
    <col min="9" max="9" width="18" style="62" bestFit="1" customWidth="1"/>
    <col min="10" max="13" width="17" style="62" bestFit="1" customWidth="1"/>
    <col min="14" max="14" width="9.140625" style="62" bestFit="1" customWidth="1"/>
    <col min="15" max="16384" width="8.85546875" style="62"/>
  </cols>
  <sheetData>
    <row r="1" spans="1:14" ht="36" customHeight="1">
      <c r="A1" s="443" t="s">
        <v>290</v>
      </c>
      <c r="B1" s="443"/>
      <c r="C1" s="443"/>
      <c r="D1" s="443"/>
      <c r="E1" s="443"/>
      <c r="F1" s="443"/>
      <c r="G1" s="443"/>
      <c r="H1" s="443"/>
      <c r="I1" s="443"/>
      <c r="J1" s="443"/>
      <c r="K1" s="443"/>
      <c r="L1" s="443"/>
      <c r="M1" s="443"/>
      <c r="N1" s="443"/>
    </row>
    <row r="2" spans="1:14">
      <c r="A2" s="60"/>
      <c r="B2" s="61" t="s">
        <v>291</v>
      </c>
      <c r="F2" s="63"/>
    </row>
    <row r="3" spans="1:14">
      <c r="A3" s="64"/>
      <c r="B3" s="61" t="s">
        <v>292</v>
      </c>
      <c r="E3" s="65"/>
    </row>
    <row r="4" spans="1:14" ht="12" customHeight="1"/>
    <row r="5" spans="1:14">
      <c r="A5" s="448" t="s">
        <v>293</v>
      </c>
      <c r="B5" s="448"/>
      <c r="C5" s="448"/>
      <c r="D5" s="448"/>
      <c r="E5" s="448"/>
      <c r="F5" s="448"/>
      <c r="G5" s="448"/>
      <c r="H5" s="449" t="s">
        <v>294</v>
      </c>
      <c r="I5" s="449"/>
      <c r="J5" s="449"/>
      <c r="K5" s="449"/>
      <c r="L5" s="449"/>
      <c r="M5" s="449"/>
      <c r="N5" s="449"/>
    </row>
    <row r="6" spans="1:14">
      <c r="A6" s="66" t="s">
        <v>295</v>
      </c>
      <c r="B6" s="66" t="s">
        <v>296</v>
      </c>
      <c r="C6" s="66" t="s">
        <v>6</v>
      </c>
      <c r="D6" s="66" t="s">
        <v>7</v>
      </c>
      <c r="E6" s="66" t="s">
        <v>297</v>
      </c>
      <c r="F6" s="66" t="s">
        <v>298</v>
      </c>
      <c r="G6" s="66" t="s">
        <v>299</v>
      </c>
      <c r="H6" s="66" t="s">
        <v>295</v>
      </c>
      <c r="I6" s="66" t="s">
        <v>296</v>
      </c>
      <c r="J6" s="66" t="s">
        <v>6</v>
      </c>
      <c r="K6" s="66" t="s">
        <v>7</v>
      </c>
      <c r="L6" s="66" t="s">
        <v>297</v>
      </c>
      <c r="M6" s="66" t="s">
        <v>298</v>
      </c>
      <c r="N6" s="66" t="s">
        <v>299</v>
      </c>
    </row>
    <row r="7" spans="1:14">
      <c r="A7" s="453" t="s">
        <v>300</v>
      </c>
      <c r="B7" s="453"/>
      <c r="C7" s="453"/>
      <c r="D7" s="453"/>
      <c r="E7" s="453"/>
      <c r="F7" s="453"/>
      <c r="G7" s="453"/>
      <c r="H7" s="67"/>
      <c r="I7" s="67"/>
      <c r="J7" s="67"/>
      <c r="K7" s="67"/>
      <c r="L7" s="67"/>
      <c r="M7" s="67"/>
      <c r="N7" s="67"/>
    </row>
    <row r="8" spans="1:14">
      <c r="A8" s="68">
        <v>60</v>
      </c>
      <c r="B8" s="68" t="s">
        <v>301</v>
      </c>
      <c r="C8" s="68">
        <v>39.699996948242202</v>
      </c>
      <c r="D8" s="68">
        <v>43.650009155273402</v>
      </c>
      <c r="E8" s="68">
        <v>0</v>
      </c>
      <c r="F8" s="68">
        <v>143.10562133789099</v>
      </c>
      <c r="G8" s="68">
        <v>0</v>
      </c>
      <c r="H8" s="68">
        <v>60</v>
      </c>
      <c r="I8" s="68" t="s">
        <v>302</v>
      </c>
      <c r="J8" s="68">
        <v>0</v>
      </c>
      <c r="K8" s="68">
        <v>0.28000003099441501</v>
      </c>
      <c r="L8" s="68">
        <v>0</v>
      </c>
      <c r="M8" s="68">
        <v>159.99618530273401</v>
      </c>
      <c r="N8" s="68">
        <v>0</v>
      </c>
    </row>
    <row r="9" spans="1:14">
      <c r="A9" s="68">
        <v>70</v>
      </c>
      <c r="B9" s="68" t="s">
        <v>305</v>
      </c>
      <c r="C9" s="68">
        <v>31.1499938964844</v>
      </c>
      <c r="D9" s="68">
        <v>32.149993896484403</v>
      </c>
      <c r="E9" s="68">
        <v>0</v>
      </c>
      <c r="F9" s="68">
        <v>100.46086883544901</v>
      </c>
      <c r="G9" s="68">
        <v>0</v>
      </c>
      <c r="H9" s="68">
        <v>70</v>
      </c>
      <c r="I9" s="68" t="s">
        <v>306</v>
      </c>
      <c r="J9" s="68">
        <v>0</v>
      </c>
      <c r="K9" s="68">
        <v>0.29000002145767201</v>
      </c>
      <c r="L9" s="68">
        <v>0</v>
      </c>
      <c r="M9" s="68">
        <v>119.49909210205099</v>
      </c>
      <c r="N9" s="68">
        <v>0</v>
      </c>
    </row>
    <row r="10" spans="1:14">
      <c r="A10" s="68">
        <v>80</v>
      </c>
      <c r="B10" s="68" t="s">
        <v>309</v>
      </c>
      <c r="C10" s="68">
        <v>21.349990844726602</v>
      </c>
      <c r="D10" s="68">
        <v>22</v>
      </c>
      <c r="E10" s="68">
        <v>0</v>
      </c>
      <c r="F10" s="68">
        <v>69.532821655273395</v>
      </c>
      <c r="G10" s="68">
        <v>0</v>
      </c>
      <c r="H10" s="68">
        <v>80</v>
      </c>
      <c r="I10" s="68" t="s">
        <v>310</v>
      </c>
      <c r="J10" s="68">
        <v>0</v>
      </c>
      <c r="K10" s="68">
        <v>0.129999995231628</v>
      </c>
      <c r="L10" s="68">
        <v>0</v>
      </c>
      <c r="M10" s="68">
        <v>71.011054992675795</v>
      </c>
      <c r="N10" s="68">
        <v>0</v>
      </c>
    </row>
    <row r="11" spans="1:14">
      <c r="A11" s="68">
        <v>85</v>
      </c>
      <c r="B11" s="68" t="s">
        <v>311</v>
      </c>
      <c r="C11" s="68">
        <v>16.300003051757798</v>
      </c>
      <c r="D11" s="68">
        <v>16.8999938964844</v>
      </c>
      <c r="E11" s="68">
        <v>0</v>
      </c>
      <c r="F11" s="68">
        <v>44.811878204345703</v>
      </c>
      <c r="G11" s="68">
        <v>0</v>
      </c>
      <c r="H11" s="68">
        <v>85</v>
      </c>
      <c r="I11" s="68" t="s">
        <v>312</v>
      </c>
      <c r="J11" s="68">
        <v>0</v>
      </c>
      <c r="K11" s="68">
        <v>0.10000002384185799</v>
      </c>
      <c r="L11" s="68">
        <v>0</v>
      </c>
      <c r="M11" s="68">
        <v>52.984107971191399</v>
      </c>
      <c r="N11" s="68">
        <v>0</v>
      </c>
    </row>
    <row r="12" spans="1:14">
      <c r="A12" s="67">
        <v>90</v>
      </c>
      <c r="B12" s="67" t="s">
        <v>315</v>
      </c>
      <c r="C12" s="67">
        <v>11.5</v>
      </c>
      <c r="D12" s="67">
        <v>11.800000190734901</v>
      </c>
      <c r="E12" s="67">
        <v>0</v>
      </c>
      <c r="F12" s="67">
        <v>36.5554389953613</v>
      </c>
      <c r="G12" s="67">
        <v>0</v>
      </c>
      <c r="H12" s="67">
        <v>90</v>
      </c>
      <c r="I12" s="67" t="s">
        <v>316</v>
      </c>
      <c r="J12" s="67">
        <v>9.9999997764825804E-3</v>
      </c>
      <c r="K12" s="67">
        <v>9.0000033378601102E-2</v>
      </c>
      <c r="L12" s="67">
        <v>7.9999983310699505E-2</v>
      </c>
      <c r="M12" s="67">
        <v>34.066074371337898</v>
      </c>
      <c r="N12" s="67">
        <v>5</v>
      </c>
    </row>
    <row r="13" spans="1:14">
      <c r="A13" s="67">
        <v>95</v>
      </c>
      <c r="B13" s="67" t="s">
        <v>17</v>
      </c>
      <c r="C13" s="67">
        <v>6.6500005722045898</v>
      </c>
      <c r="D13" s="67">
        <v>6.9499998092651403</v>
      </c>
      <c r="E13" s="67">
        <v>6.9499998092651403</v>
      </c>
      <c r="F13" s="67">
        <v>28.584434509277301</v>
      </c>
      <c r="G13" s="67">
        <v>12</v>
      </c>
      <c r="H13" s="67">
        <v>95</v>
      </c>
      <c r="I13" s="67" t="s">
        <v>57</v>
      </c>
      <c r="J13" s="67">
        <v>7.9999983310699505E-2</v>
      </c>
      <c r="K13" s="67">
        <v>0.259999990463257</v>
      </c>
      <c r="L13" s="67">
        <v>0.240000009536743</v>
      </c>
      <c r="M13" s="67">
        <v>26.78151512146</v>
      </c>
      <c r="N13" s="67">
        <v>24</v>
      </c>
    </row>
    <row r="14" spans="1:14">
      <c r="A14" s="67">
        <v>98</v>
      </c>
      <c r="B14" s="67" t="s">
        <v>18</v>
      </c>
      <c r="C14" s="67">
        <v>4.1500005722045898</v>
      </c>
      <c r="D14" s="67">
        <v>4.3000001907348597</v>
      </c>
      <c r="E14" s="67">
        <v>4.1999998092651403</v>
      </c>
      <c r="F14" s="67">
        <v>27.168388366699201</v>
      </c>
      <c r="G14" s="67">
        <v>2</v>
      </c>
      <c r="H14" s="67">
        <v>98</v>
      </c>
      <c r="I14" s="67" t="s">
        <v>58</v>
      </c>
      <c r="J14" s="67">
        <v>0.56000000238418601</v>
      </c>
      <c r="K14" s="67">
        <v>0.66000002622604403</v>
      </c>
      <c r="L14" s="67">
        <v>0.60000002384185802</v>
      </c>
      <c r="M14" s="67">
        <v>26.5734252929688</v>
      </c>
      <c r="N14" s="67">
        <v>124</v>
      </c>
    </row>
    <row r="15" spans="1:14">
      <c r="A15" s="67">
        <v>99</v>
      </c>
      <c r="B15" s="67" t="s">
        <v>19</v>
      </c>
      <c r="C15" s="67">
        <v>3.4000005722045898</v>
      </c>
      <c r="D15" s="67">
        <v>3.5500001907348602</v>
      </c>
      <c r="E15" s="67">
        <v>3.67000007629394</v>
      </c>
      <c r="F15" s="67">
        <v>26.8258666992188</v>
      </c>
      <c r="G15" s="67">
        <v>10</v>
      </c>
      <c r="H15" s="67">
        <v>99</v>
      </c>
      <c r="I15" s="67" t="s">
        <v>59</v>
      </c>
      <c r="J15" s="67">
        <v>0.87000000476837203</v>
      </c>
      <c r="K15" s="67">
        <v>0.88999998569488503</v>
      </c>
      <c r="L15" s="67">
        <v>0.87999999523162797</v>
      </c>
      <c r="M15" s="67">
        <v>26.641626358032202</v>
      </c>
      <c r="N15" s="67">
        <v>56</v>
      </c>
    </row>
    <row r="16" spans="1:14">
      <c r="A16" s="67">
        <v>100</v>
      </c>
      <c r="B16" s="67" t="s">
        <v>20</v>
      </c>
      <c r="C16" s="67">
        <v>2.7300004959106401</v>
      </c>
      <c r="D16" s="67">
        <v>2.8400001525878902</v>
      </c>
      <c r="E16" s="67">
        <v>2.8000001907348602</v>
      </c>
      <c r="F16" s="67">
        <v>26.3561191558838</v>
      </c>
      <c r="G16" s="67">
        <v>55</v>
      </c>
      <c r="H16" s="67">
        <v>100</v>
      </c>
      <c r="I16" s="67" t="s">
        <v>60</v>
      </c>
      <c r="J16" s="67">
        <v>1.0600004196167001</v>
      </c>
      <c r="K16" s="67">
        <v>1.19999980926514</v>
      </c>
      <c r="L16" s="67">
        <v>1.17000007629395</v>
      </c>
      <c r="M16" s="67">
        <v>25.2994594573975</v>
      </c>
      <c r="N16" s="67">
        <v>84</v>
      </c>
    </row>
    <row r="17" spans="1:14">
      <c r="A17" s="67">
        <v>101</v>
      </c>
      <c r="B17" s="67" t="s">
        <v>21</v>
      </c>
      <c r="C17" s="67">
        <v>2.1099996566772501</v>
      </c>
      <c r="D17" s="67">
        <v>2.21000003814697</v>
      </c>
      <c r="E17" s="67">
        <v>2.32999992370606</v>
      </c>
      <c r="F17" s="67">
        <v>25.734918594360401</v>
      </c>
      <c r="G17" s="67">
        <v>28</v>
      </c>
      <c r="H17" s="67">
        <v>101</v>
      </c>
      <c r="I17" s="67" t="s">
        <v>61</v>
      </c>
      <c r="J17" s="67">
        <v>1.50999927520752</v>
      </c>
      <c r="K17" s="67">
        <v>1.59000015258789</v>
      </c>
      <c r="L17" s="67">
        <v>1.4800004959106401</v>
      </c>
      <c r="M17" s="67">
        <v>25.354883193969702</v>
      </c>
      <c r="N17" s="67">
        <v>100</v>
      </c>
    </row>
    <row r="18" spans="1:14">
      <c r="A18" s="67">
        <v>102</v>
      </c>
      <c r="B18" s="67" t="s">
        <v>22</v>
      </c>
      <c r="C18" s="67">
        <v>1.5999994277954099</v>
      </c>
      <c r="D18" s="67">
        <v>1.65999984741211</v>
      </c>
      <c r="E18" s="67">
        <v>1.6900005340576201</v>
      </c>
      <c r="F18" s="67">
        <v>25.288133621215799</v>
      </c>
      <c r="G18" s="67">
        <v>41</v>
      </c>
      <c r="H18" s="67">
        <v>102</v>
      </c>
      <c r="I18" s="67" t="s">
        <v>62</v>
      </c>
      <c r="J18" s="67">
        <v>1.96999931335449</v>
      </c>
      <c r="K18" s="67">
        <v>2.0600004196167001</v>
      </c>
      <c r="L18" s="67">
        <v>2.0200004577636701</v>
      </c>
      <c r="M18" s="67">
        <v>24.818048477172901</v>
      </c>
      <c r="N18" s="67">
        <v>65</v>
      </c>
    </row>
    <row r="19" spans="1:14">
      <c r="A19" s="67">
        <v>103</v>
      </c>
      <c r="B19" s="67" t="s">
        <v>23</v>
      </c>
      <c r="C19" s="67">
        <v>1.17000007629395</v>
      </c>
      <c r="D19" s="67">
        <v>1.2200002670288099</v>
      </c>
      <c r="E19" s="67">
        <v>1.2799997329711901</v>
      </c>
      <c r="F19" s="67">
        <v>24.9610691070557</v>
      </c>
      <c r="G19" s="67">
        <v>89</v>
      </c>
      <c r="H19" s="67">
        <v>103</v>
      </c>
      <c r="I19" s="67" t="s">
        <v>63</v>
      </c>
      <c r="J19" s="67">
        <v>2.5500001907348602</v>
      </c>
      <c r="K19" s="67">
        <v>2.6199998855590798</v>
      </c>
      <c r="L19" s="67">
        <v>2.5900001525878902</v>
      </c>
      <c r="M19" s="67">
        <v>24.5023918151856</v>
      </c>
      <c r="N19" s="67">
        <v>28</v>
      </c>
    </row>
    <row r="20" spans="1:14">
      <c r="A20" s="67">
        <v>104</v>
      </c>
      <c r="B20" s="67" t="s">
        <v>24</v>
      </c>
      <c r="C20" s="67">
        <v>0.81999999284744296</v>
      </c>
      <c r="D20" s="67">
        <v>0.87000000476837203</v>
      </c>
      <c r="E20" s="67">
        <v>0.87000000476837203</v>
      </c>
      <c r="F20" s="67">
        <v>24.6371250152588</v>
      </c>
      <c r="G20" s="67">
        <v>56</v>
      </c>
      <c r="H20" s="67">
        <v>104</v>
      </c>
      <c r="I20" s="67" t="s">
        <v>64</v>
      </c>
      <c r="J20" s="67">
        <v>3.1999998092651398</v>
      </c>
      <c r="K20" s="67">
        <v>3.3500003814697301</v>
      </c>
      <c r="L20" s="67">
        <v>3.3000001907348602</v>
      </c>
      <c r="M20" s="67">
        <v>24.7009792327881</v>
      </c>
      <c r="N20" s="67">
        <v>29</v>
      </c>
    </row>
    <row r="21" spans="1:14">
      <c r="A21" s="67">
        <v>105</v>
      </c>
      <c r="B21" s="67" t="s">
        <v>25</v>
      </c>
      <c r="C21" s="67">
        <v>0.56999999284744296</v>
      </c>
      <c r="D21" s="67">
        <v>0.61000001430511497</v>
      </c>
      <c r="E21" s="67">
        <v>0.56999999284744296</v>
      </c>
      <c r="F21" s="67">
        <v>24.601615905761701</v>
      </c>
      <c r="G21" s="67">
        <v>660</v>
      </c>
      <c r="H21" s="67">
        <v>105</v>
      </c>
      <c r="I21" s="67" t="s">
        <v>65</v>
      </c>
      <c r="J21" s="67">
        <v>3.9499998092651398</v>
      </c>
      <c r="K21" s="67">
        <v>4.0500001907348597</v>
      </c>
      <c r="L21" s="67">
        <v>4.0500001907348597</v>
      </c>
      <c r="M21" s="67">
        <v>24.1961879730225</v>
      </c>
      <c r="N21" s="67">
        <v>69</v>
      </c>
    </row>
    <row r="22" spans="1:14">
      <c r="A22" s="67">
        <v>106</v>
      </c>
      <c r="B22" s="67" t="s">
        <v>26</v>
      </c>
      <c r="C22" s="67">
        <v>0.38999998569488498</v>
      </c>
      <c r="D22" s="67">
        <v>0.42000001668929998</v>
      </c>
      <c r="E22" s="67">
        <v>0.40000003576278698</v>
      </c>
      <c r="F22" s="67">
        <v>24.682907104492202</v>
      </c>
      <c r="G22" s="67">
        <v>107</v>
      </c>
      <c r="H22" s="67">
        <v>106</v>
      </c>
      <c r="I22" s="67" t="s">
        <v>66</v>
      </c>
      <c r="J22" s="67">
        <v>4.8000001907348597</v>
      </c>
      <c r="K22" s="67">
        <v>4.9000005722045898</v>
      </c>
      <c r="L22" s="67">
        <v>4.8500003814697301</v>
      </c>
      <c r="M22" s="67">
        <v>24.819932937622099</v>
      </c>
      <c r="N22" s="67">
        <v>11</v>
      </c>
    </row>
    <row r="23" spans="1:14">
      <c r="A23" s="67">
        <v>107</v>
      </c>
      <c r="B23" s="67" t="s">
        <v>27</v>
      </c>
      <c r="C23" s="67">
        <v>0.240000009536743</v>
      </c>
      <c r="D23" s="67">
        <v>0.29000002145767201</v>
      </c>
      <c r="E23" s="67">
        <v>0.30000001192092901</v>
      </c>
      <c r="F23" s="67">
        <v>24.602554321289102</v>
      </c>
      <c r="G23" s="67">
        <v>36</v>
      </c>
      <c r="H23" s="67">
        <v>107</v>
      </c>
      <c r="I23" s="67" t="s">
        <v>67</v>
      </c>
      <c r="J23" s="67">
        <v>5.6500005722045898</v>
      </c>
      <c r="K23" s="67">
        <v>5.8000001907348597</v>
      </c>
      <c r="L23" s="67">
        <v>5.6999998092651403</v>
      </c>
      <c r="M23" s="67">
        <v>24.942792892456101</v>
      </c>
      <c r="N23" s="67">
        <v>6</v>
      </c>
    </row>
    <row r="24" spans="1:14">
      <c r="A24" s="68">
        <v>108</v>
      </c>
      <c r="B24" s="68" t="s">
        <v>329</v>
      </c>
      <c r="C24" s="68">
        <v>0.17000001668930101</v>
      </c>
      <c r="D24" s="68">
        <v>0.20999997854232799</v>
      </c>
      <c r="E24" s="68">
        <v>0.18000000715255701</v>
      </c>
      <c r="F24" s="68">
        <v>25.300209045410199</v>
      </c>
      <c r="G24" s="68">
        <v>48</v>
      </c>
      <c r="H24" s="68">
        <v>108</v>
      </c>
      <c r="I24" s="68" t="s">
        <v>330</v>
      </c>
      <c r="J24" s="68">
        <v>5.0500001907348597</v>
      </c>
      <c r="K24" s="68">
        <v>6.9000005722045898</v>
      </c>
      <c r="L24" s="68">
        <v>0</v>
      </c>
      <c r="M24" s="68">
        <v>0</v>
      </c>
      <c r="N24" s="68">
        <v>0</v>
      </c>
    </row>
    <row r="25" spans="1:14">
      <c r="A25" s="68">
        <v>109</v>
      </c>
      <c r="B25" s="68" t="s">
        <v>331</v>
      </c>
      <c r="C25" s="68">
        <v>0.110000014305115</v>
      </c>
      <c r="D25" s="68">
        <v>0.150000035762787</v>
      </c>
      <c r="E25" s="68">
        <v>0.129999995231628</v>
      </c>
      <c r="F25" s="68">
        <v>25.719133377075199</v>
      </c>
      <c r="G25" s="68">
        <v>6</v>
      </c>
      <c r="H25" s="68">
        <v>109</v>
      </c>
      <c r="I25" s="68" t="s">
        <v>332</v>
      </c>
      <c r="J25" s="68">
        <v>7.4499998092651403</v>
      </c>
      <c r="K25" s="68">
        <v>7.8000001907348597</v>
      </c>
      <c r="L25" s="68">
        <v>0</v>
      </c>
      <c r="M25" s="68">
        <v>27.1067409515381</v>
      </c>
      <c r="N25" s="68">
        <v>0</v>
      </c>
    </row>
    <row r="26" spans="1:14">
      <c r="A26" s="67">
        <v>110</v>
      </c>
      <c r="B26" s="67" t="s">
        <v>28</v>
      </c>
      <c r="C26" s="67">
        <v>9.0000033378601102E-2</v>
      </c>
      <c r="D26" s="67">
        <v>0.120000004768372</v>
      </c>
      <c r="E26" s="67">
        <v>9.0000033378601102E-2</v>
      </c>
      <c r="F26" s="67">
        <v>27.0456142425537</v>
      </c>
      <c r="G26" s="67">
        <v>114</v>
      </c>
      <c r="H26" s="67">
        <v>110</v>
      </c>
      <c r="I26" s="67" t="s">
        <v>68</v>
      </c>
      <c r="J26" s="67">
        <v>8.5</v>
      </c>
      <c r="K26" s="67">
        <v>8.6999998092651403</v>
      </c>
      <c r="L26" s="67">
        <v>8.4799995422363299</v>
      </c>
      <c r="M26" s="67">
        <v>28.406557083129901</v>
      </c>
      <c r="N26" s="67">
        <v>143</v>
      </c>
    </row>
    <row r="27" spans="1:14">
      <c r="A27" s="68">
        <v>111</v>
      </c>
      <c r="B27" s="68" t="s">
        <v>333</v>
      </c>
      <c r="C27" s="68">
        <v>5.9999998658895499E-2</v>
      </c>
      <c r="D27" s="68">
        <v>9.0000033378601102E-2</v>
      </c>
      <c r="E27" s="68">
        <v>3.9999999105930301E-2</v>
      </c>
      <c r="F27" s="68">
        <v>27.6464538574219</v>
      </c>
      <c r="G27" s="68">
        <v>1</v>
      </c>
      <c r="H27" s="68">
        <v>111</v>
      </c>
      <c r="I27" s="68" t="s">
        <v>334</v>
      </c>
      <c r="J27" s="68">
        <v>8.8000001907348597</v>
      </c>
      <c r="K27" s="68">
        <v>9.75</v>
      </c>
      <c r="L27" s="68">
        <v>0</v>
      </c>
      <c r="M27" s="68">
        <v>0</v>
      </c>
      <c r="N27" s="68">
        <v>0</v>
      </c>
    </row>
    <row r="28" spans="1:14">
      <c r="A28" s="68">
        <v>112</v>
      </c>
      <c r="B28" s="68" t="s">
        <v>335</v>
      </c>
      <c r="C28" s="68">
        <v>0</v>
      </c>
      <c r="D28" s="68">
        <v>0.259999990463257</v>
      </c>
      <c r="E28" s="68">
        <v>5.0000000745058101E-2</v>
      </c>
      <c r="F28" s="68">
        <v>38.665721893310497</v>
      </c>
      <c r="G28" s="68">
        <v>13</v>
      </c>
      <c r="H28" s="68">
        <v>112</v>
      </c>
      <c r="I28" s="68" t="s">
        <v>336</v>
      </c>
      <c r="J28" s="68">
        <v>10.3500003814697</v>
      </c>
      <c r="K28" s="68">
        <v>10.699999809265099</v>
      </c>
      <c r="L28" s="68">
        <v>0</v>
      </c>
      <c r="M28" s="68">
        <v>0</v>
      </c>
      <c r="N28" s="68">
        <v>0</v>
      </c>
    </row>
    <row r="29" spans="1:14">
      <c r="A29" s="68">
        <v>113</v>
      </c>
      <c r="B29" s="68" t="s">
        <v>337</v>
      </c>
      <c r="C29" s="68">
        <v>0</v>
      </c>
      <c r="D29" s="68">
        <v>0.40000003576278698</v>
      </c>
      <c r="E29" s="68">
        <v>0</v>
      </c>
      <c r="F29" s="68">
        <v>45.9796752929688</v>
      </c>
      <c r="G29" s="68">
        <v>0</v>
      </c>
      <c r="H29" s="68">
        <v>113</v>
      </c>
      <c r="I29" s="68" t="s">
        <v>338</v>
      </c>
      <c r="J29" s="68">
        <v>11.3999996185303</v>
      </c>
      <c r="K29" s="68">
        <v>12.050000190734901</v>
      </c>
      <c r="L29" s="68">
        <v>0</v>
      </c>
      <c r="M29" s="68">
        <v>41.839752197265597</v>
      </c>
      <c r="N29" s="68">
        <v>0</v>
      </c>
    </row>
    <row r="30" spans="1:14">
      <c r="A30" s="67">
        <v>114</v>
      </c>
      <c r="B30" s="67" t="s">
        <v>29</v>
      </c>
      <c r="C30" s="67">
        <v>1.9999999552965199E-2</v>
      </c>
      <c r="D30" s="67">
        <v>0.120000004768372</v>
      </c>
      <c r="E30" s="67">
        <v>5.9999998658895499E-2</v>
      </c>
      <c r="F30" s="67">
        <v>33.869380950927699</v>
      </c>
      <c r="G30" s="67">
        <v>30</v>
      </c>
      <c r="H30" s="67">
        <v>114</v>
      </c>
      <c r="I30" s="67" t="s">
        <v>69</v>
      </c>
      <c r="J30" s="67">
        <v>12.3999996185303</v>
      </c>
      <c r="K30" s="67">
        <v>12.699999809265099</v>
      </c>
      <c r="L30" s="67">
        <v>12.829999923706</v>
      </c>
      <c r="M30" s="67">
        <v>32.745090484619098</v>
      </c>
      <c r="N30" s="67">
        <v>30</v>
      </c>
    </row>
    <row r="31" spans="1:14">
      <c r="A31" s="68">
        <v>115</v>
      </c>
      <c r="B31" s="68" t="s">
        <v>339</v>
      </c>
      <c r="C31" s="68">
        <v>1.9999999552965199E-2</v>
      </c>
      <c r="D31" s="68">
        <v>3.0000001192092899E-2</v>
      </c>
      <c r="E31" s="68">
        <v>1.9999999552965199E-2</v>
      </c>
      <c r="F31" s="68">
        <v>30.887229919433601</v>
      </c>
      <c r="G31" s="68">
        <v>254</v>
      </c>
      <c r="H31" s="68">
        <v>115</v>
      </c>
      <c r="I31" s="68" t="s">
        <v>340</v>
      </c>
      <c r="J31" s="68">
        <v>12.949999809265099</v>
      </c>
      <c r="K31" s="68">
        <v>13.699999809265099</v>
      </c>
      <c r="L31" s="68">
        <v>0</v>
      </c>
      <c r="M31" s="68">
        <v>0</v>
      </c>
      <c r="N31" s="68">
        <v>0</v>
      </c>
    </row>
    <row r="32" spans="1:14">
      <c r="A32" s="68">
        <v>116</v>
      </c>
      <c r="B32" s="68" t="s">
        <v>341</v>
      </c>
      <c r="C32" s="68">
        <v>1.00000016391277E-2</v>
      </c>
      <c r="D32" s="68">
        <v>0.120000004768372</v>
      </c>
      <c r="E32" s="68">
        <v>0.129999995231628</v>
      </c>
      <c r="F32" s="68">
        <v>37.583908081054702</v>
      </c>
      <c r="G32" s="68">
        <v>10</v>
      </c>
      <c r="H32" s="68">
        <v>116</v>
      </c>
      <c r="I32" s="68" t="s">
        <v>342</v>
      </c>
      <c r="J32" s="68">
        <v>14.3999996185303</v>
      </c>
      <c r="K32" s="68">
        <v>14.8500003814697</v>
      </c>
      <c r="L32" s="68">
        <v>0</v>
      </c>
      <c r="M32" s="68">
        <v>44.189811706542997</v>
      </c>
      <c r="N32" s="68">
        <v>0</v>
      </c>
    </row>
    <row r="33" spans="1:14">
      <c r="A33" s="68">
        <v>117</v>
      </c>
      <c r="B33" s="68" t="s">
        <v>343</v>
      </c>
      <c r="C33" s="68">
        <v>0</v>
      </c>
      <c r="D33" s="68">
        <v>0.31999999284744302</v>
      </c>
      <c r="E33" s="68">
        <v>0</v>
      </c>
      <c r="F33" s="68">
        <v>53.599723815917997</v>
      </c>
      <c r="G33" s="68">
        <v>0</v>
      </c>
      <c r="H33" s="68">
        <v>117</v>
      </c>
      <c r="I33" s="68" t="s">
        <v>344</v>
      </c>
      <c r="J33" s="68">
        <v>15.3999996185303</v>
      </c>
      <c r="K33" s="68">
        <v>16.6000061035156</v>
      </c>
      <c r="L33" s="68">
        <v>0</v>
      </c>
      <c r="M33" s="68">
        <v>60.818233489990199</v>
      </c>
      <c r="N33" s="68">
        <v>0</v>
      </c>
    </row>
    <row r="34" spans="1:14">
      <c r="A34" s="68">
        <v>118</v>
      </c>
      <c r="B34" s="68" t="s">
        <v>345</v>
      </c>
      <c r="C34" s="68">
        <v>0</v>
      </c>
      <c r="D34" s="68">
        <v>0.10000002384185799</v>
      </c>
      <c r="E34" s="68">
        <v>0</v>
      </c>
      <c r="F34" s="68">
        <v>44.585750579833999</v>
      </c>
      <c r="G34" s="68">
        <v>0</v>
      </c>
      <c r="H34" s="68">
        <v>118</v>
      </c>
      <c r="I34" s="68" t="s">
        <v>346</v>
      </c>
      <c r="J34" s="68">
        <v>14.800000190734901</v>
      </c>
      <c r="K34" s="68">
        <v>17.3999938964844</v>
      </c>
      <c r="L34" s="68">
        <v>0</v>
      </c>
      <c r="M34" s="68">
        <v>0</v>
      </c>
      <c r="N34" s="68">
        <v>0</v>
      </c>
    </row>
    <row r="35" spans="1:14">
      <c r="A35" s="68">
        <v>119</v>
      </c>
      <c r="B35" s="68" t="s">
        <v>347</v>
      </c>
      <c r="C35" s="68">
        <v>0</v>
      </c>
      <c r="D35" s="68">
        <v>0.30000001192092901</v>
      </c>
      <c r="E35" s="68">
        <v>0</v>
      </c>
      <c r="F35" s="68">
        <v>57.573387145996101</v>
      </c>
      <c r="G35" s="68">
        <v>0</v>
      </c>
      <c r="H35" s="68">
        <v>119</v>
      </c>
      <c r="I35" s="68" t="s">
        <v>348</v>
      </c>
      <c r="J35" s="68">
        <v>17.3999938964844</v>
      </c>
      <c r="K35" s="68">
        <v>18.3999938964844</v>
      </c>
      <c r="L35" s="68">
        <v>0</v>
      </c>
      <c r="M35" s="68">
        <v>63.652870178222699</v>
      </c>
      <c r="N35" s="68">
        <v>0</v>
      </c>
    </row>
    <row r="36" spans="1:14">
      <c r="A36" s="68">
        <v>120</v>
      </c>
      <c r="B36" s="68" t="s">
        <v>349</v>
      </c>
      <c r="C36" s="68">
        <v>1.00000016391277E-2</v>
      </c>
      <c r="D36" s="68">
        <v>1.9999999552965199E-2</v>
      </c>
      <c r="E36" s="68">
        <v>1.9999999552965199E-2</v>
      </c>
      <c r="F36" s="68">
        <v>37.457923889160199</v>
      </c>
      <c r="G36" s="68">
        <v>83</v>
      </c>
      <c r="H36" s="68">
        <v>120</v>
      </c>
      <c r="I36" s="68" t="s">
        <v>350</v>
      </c>
      <c r="J36" s="68">
        <v>18.300003051757798</v>
      </c>
      <c r="K36" s="68">
        <v>18.699996948242202</v>
      </c>
      <c r="L36" s="68">
        <v>0</v>
      </c>
      <c r="M36" s="68">
        <v>0</v>
      </c>
      <c r="N36" s="68">
        <v>0</v>
      </c>
    </row>
    <row r="37" spans="1:14">
      <c r="A37" s="68">
        <v>121</v>
      </c>
      <c r="B37" s="68" t="s">
        <v>351</v>
      </c>
      <c r="C37" s="68">
        <v>0</v>
      </c>
      <c r="D37" s="68">
        <v>0.270000040531158</v>
      </c>
      <c r="E37" s="68">
        <v>1.00000016391277E-2</v>
      </c>
      <c r="F37" s="68">
        <v>60.804435729980497</v>
      </c>
      <c r="G37" s="68">
        <v>1</v>
      </c>
      <c r="H37" s="68">
        <v>121</v>
      </c>
      <c r="I37" s="68" t="s">
        <v>352</v>
      </c>
      <c r="J37" s="68">
        <v>19.3999938964844</v>
      </c>
      <c r="K37" s="68">
        <v>20.6499938964844</v>
      </c>
      <c r="L37" s="68">
        <v>0</v>
      </c>
      <c r="M37" s="68">
        <v>71.689346313476605</v>
      </c>
      <c r="N37" s="68">
        <v>0</v>
      </c>
    </row>
    <row r="38" spans="1:14">
      <c r="A38" s="68">
        <v>122</v>
      </c>
      <c r="B38" s="68" t="s">
        <v>353</v>
      </c>
      <c r="C38" s="68">
        <v>0</v>
      </c>
      <c r="D38" s="68">
        <v>0.29000002145767201</v>
      </c>
      <c r="E38" s="68">
        <v>0</v>
      </c>
      <c r="F38" s="68">
        <v>63.951339721679702</v>
      </c>
      <c r="G38" s="68">
        <v>0</v>
      </c>
      <c r="H38" s="68">
        <v>122</v>
      </c>
      <c r="I38" s="68" t="s">
        <v>354</v>
      </c>
      <c r="J38" s="68">
        <v>19.050003051757798</v>
      </c>
      <c r="K38" s="68">
        <v>20.8500061035156</v>
      </c>
      <c r="L38" s="68">
        <v>0</v>
      </c>
      <c r="M38" s="68">
        <v>0</v>
      </c>
      <c r="N38" s="68">
        <v>0</v>
      </c>
    </row>
    <row r="39" spans="1:14">
      <c r="A39" s="68">
        <v>125</v>
      </c>
      <c r="B39" s="68" t="s">
        <v>355</v>
      </c>
      <c r="C39" s="68">
        <v>1.00000016391277E-2</v>
      </c>
      <c r="D39" s="68">
        <v>1.9999999552965199E-2</v>
      </c>
      <c r="E39" s="68">
        <v>1.00000016391277E-2</v>
      </c>
      <c r="F39" s="68">
        <v>45.4001655578613</v>
      </c>
      <c r="G39" s="68">
        <v>139</v>
      </c>
      <c r="H39" s="68">
        <v>125</v>
      </c>
      <c r="I39" s="68" t="s">
        <v>356</v>
      </c>
      <c r="J39" s="68">
        <v>22.25</v>
      </c>
      <c r="K39" s="68">
        <v>23.75</v>
      </c>
      <c r="L39" s="68">
        <v>0</v>
      </c>
      <c r="M39" s="68">
        <v>0</v>
      </c>
      <c r="N39" s="68">
        <v>0</v>
      </c>
    </row>
    <row r="40" spans="1:14">
      <c r="A40" s="67">
        <v>130</v>
      </c>
      <c r="B40" s="67" t="s">
        <v>30</v>
      </c>
      <c r="C40" s="67">
        <v>0</v>
      </c>
      <c r="D40" s="67">
        <v>3.9999999105930301E-2</v>
      </c>
      <c r="E40" s="67">
        <v>1.00000016391277E-2</v>
      </c>
      <c r="F40" s="67">
        <v>59.249893188476598</v>
      </c>
      <c r="G40" s="67">
        <v>10</v>
      </c>
      <c r="H40" s="67">
        <v>130</v>
      </c>
      <c r="I40" s="67" t="s">
        <v>70</v>
      </c>
      <c r="J40" s="67">
        <v>27.3999938964844</v>
      </c>
      <c r="K40" s="67">
        <v>30.3999938964844</v>
      </c>
      <c r="L40" s="67">
        <v>28.8500061035156</v>
      </c>
      <c r="M40" s="67">
        <v>88.830596923828097</v>
      </c>
      <c r="N40" s="67">
        <v>4</v>
      </c>
    </row>
    <row r="41" spans="1:14">
      <c r="A41" s="67">
        <v>135</v>
      </c>
      <c r="B41" s="67" t="s">
        <v>357</v>
      </c>
      <c r="C41" s="67">
        <v>0</v>
      </c>
      <c r="D41" s="67">
        <v>0.28000003099441501</v>
      </c>
      <c r="E41" s="67">
        <v>0</v>
      </c>
      <c r="F41" s="67">
        <v>89.631050109863295</v>
      </c>
      <c r="G41" s="67">
        <v>0</v>
      </c>
      <c r="H41" s="67">
        <v>135</v>
      </c>
      <c r="I41" s="67" t="s">
        <v>358</v>
      </c>
      <c r="J41" s="67">
        <v>31.699996948242202</v>
      </c>
      <c r="K41" s="67">
        <v>35.5</v>
      </c>
      <c r="L41" s="67">
        <v>33.8699951171875</v>
      </c>
      <c r="M41" s="67">
        <v>79.161361694335895</v>
      </c>
      <c r="N41" s="67">
        <v>4</v>
      </c>
    </row>
    <row r="42" spans="1:14">
      <c r="A42" s="68">
        <v>140</v>
      </c>
      <c r="B42" s="68" t="s">
        <v>359</v>
      </c>
      <c r="C42" s="68">
        <v>0</v>
      </c>
      <c r="D42" s="68">
        <v>0.28000003099441501</v>
      </c>
      <c r="E42" s="68">
        <v>0</v>
      </c>
      <c r="F42" s="68">
        <v>98.607093811035199</v>
      </c>
      <c r="G42" s="68">
        <v>0</v>
      </c>
      <c r="H42" s="68">
        <v>140</v>
      </c>
      <c r="I42" s="68" t="s">
        <v>360</v>
      </c>
      <c r="J42" s="68">
        <v>36.7999877929688</v>
      </c>
      <c r="K42" s="68">
        <v>40.5</v>
      </c>
      <c r="L42" s="68">
        <v>0</v>
      </c>
      <c r="M42" s="68">
        <v>92.808006286621094</v>
      </c>
      <c r="N42" s="68">
        <v>0</v>
      </c>
    </row>
    <row r="43" spans="1:14">
      <c r="A43" s="68">
        <v>145</v>
      </c>
      <c r="B43" s="68" t="s">
        <v>361</v>
      </c>
      <c r="C43" s="68">
        <v>0</v>
      </c>
      <c r="D43" s="68">
        <v>0.27999997138977101</v>
      </c>
      <c r="E43" s="68">
        <v>0</v>
      </c>
      <c r="F43" s="68">
        <v>107.10466766357401</v>
      </c>
      <c r="G43" s="68">
        <v>0</v>
      </c>
      <c r="H43" s="68">
        <v>145</v>
      </c>
      <c r="I43" s="68" t="s">
        <v>362</v>
      </c>
      <c r="J43" s="68">
        <v>41.550003051757798</v>
      </c>
      <c r="K43" s="68">
        <v>45.5</v>
      </c>
      <c r="L43" s="68">
        <v>0</v>
      </c>
      <c r="M43" s="68">
        <v>0</v>
      </c>
      <c r="N43" s="68">
        <v>0</v>
      </c>
    </row>
    <row r="44" spans="1:14">
      <c r="A44" s="68">
        <v>150</v>
      </c>
      <c r="B44" s="68" t="s">
        <v>363</v>
      </c>
      <c r="C44" s="68">
        <v>0</v>
      </c>
      <c r="D44" s="68">
        <v>0.139999985694885</v>
      </c>
      <c r="E44" s="68">
        <v>0</v>
      </c>
      <c r="F44" s="68">
        <v>103.317459106445</v>
      </c>
      <c r="G44" s="68">
        <v>0</v>
      </c>
      <c r="H44" s="68">
        <v>150</v>
      </c>
      <c r="I44" s="68" t="s">
        <v>364</v>
      </c>
      <c r="J44" s="68">
        <v>46.449996948242202</v>
      </c>
      <c r="K44" s="68">
        <v>50.449996948242202</v>
      </c>
      <c r="L44" s="68">
        <v>0</v>
      </c>
      <c r="M44" s="68">
        <v>0</v>
      </c>
      <c r="N44" s="68">
        <v>0</v>
      </c>
    </row>
    <row r="45" spans="1:14">
      <c r="A45" s="68">
        <v>155</v>
      </c>
      <c r="B45" s="68" t="s">
        <v>365</v>
      </c>
      <c r="C45" s="68">
        <v>0</v>
      </c>
      <c r="D45" s="68">
        <v>0.28000003099441501</v>
      </c>
      <c r="E45" s="68">
        <v>0</v>
      </c>
      <c r="F45" s="68">
        <v>122.87273406982401</v>
      </c>
      <c r="G45" s="68">
        <v>0</v>
      </c>
      <c r="H45" s="68">
        <v>155</v>
      </c>
      <c r="I45" s="68" t="s">
        <v>366</v>
      </c>
      <c r="J45" s="68">
        <v>51.699996948242202</v>
      </c>
      <c r="K45" s="68">
        <v>55.449996948242202</v>
      </c>
      <c r="L45" s="68">
        <v>0</v>
      </c>
      <c r="M45" s="68">
        <v>106.18426513671901</v>
      </c>
      <c r="N45" s="68">
        <v>0</v>
      </c>
    </row>
    <row r="46" spans="1:14">
      <c r="A46" s="68">
        <v>160</v>
      </c>
      <c r="B46" s="68" t="s">
        <v>367</v>
      </c>
      <c r="C46" s="68">
        <v>0</v>
      </c>
      <c r="D46" s="68">
        <v>0.28000003099441501</v>
      </c>
      <c r="E46" s="68">
        <v>0</v>
      </c>
      <c r="F46" s="68">
        <v>130.22433471679699</v>
      </c>
      <c r="G46" s="68">
        <v>0</v>
      </c>
      <c r="H46" s="68">
        <v>160</v>
      </c>
      <c r="I46" s="68" t="s">
        <v>368</v>
      </c>
      <c r="J46" s="68">
        <v>56.75</v>
      </c>
      <c r="K46" s="68">
        <v>60.399993896484403</v>
      </c>
      <c r="L46" s="68">
        <v>0</v>
      </c>
      <c r="M46" s="68">
        <v>112.991264343262</v>
      </c>
      <c r="N46" s="68">
        <v>0</v>
      </c>
    </row>
    <row r="47" spans="1:14">
      <c r="A47" s="68">
        <v>170</v>
      </c>
      <c r="B47" s="68" t="s">
        <v>371</v>
      </c>
      <c r="C47" s="68">
        <v>0</v>
      </c>
      <c r="D47" s="68">
        <v>0.28000003099441501</v>
      </c>
      <c r="E47" s="68">
        <v>0</v>
      </c>
      <c r="F47" s="68">
        <v>144.01916503906199</v>
      </c>
      <c r="G47" s="68">
        <v>0</v>
      </c>
      <c r="H47" s="68">
        <v>170</v>
      </c>
      <c r="I47" s="68" t="s">
        <v>372</v>
      </c>
      <c r="J47" s="68">
        <v>66.449996948242202</v>
      </c>
      <c r="K47" s="68">
        <v>70.449996948242202</v>
      </c>
      <c r="L47" s="68">
        <v>0</v>
      </c>
      <c r="M47" s="68">
        <v>0</v>
      </c>
      <c r="N47" s="68">
        <v>0</v>
      </c>
    </row>
    <row r="48" spans="1:14">
      <c r="A48" s="453" t="s">
        <v>373</v>
      </c>
      <c r="B48" s="453"/>
      <c r="C48" s="453"/>
      <c r="D48" s="453"/>
      <c r="E48" s="453"/>
      <c r="F48" s="453"/>
      <c r="G48" s="453"/>
      <c r="H48" s="67"/>
      <c r="I48" s="67"/>
      <c r="J48" s="67"/>
      <c r="K48" s="67"/>
      <c r="L48" s="67"/>
      <c r="M48" s="67"/>
      <c r="N48" s="67"/>
    </row>
    <row r="49" spans="1:14">
      <c r="A49" s="69">
        <v>55</v>
      </c>
      <c r="B49" s="69" t="s">
        <v>374</v>
      </c>
      <c r="C49" s="69">
        <v>46.199996948242202</v>
      </c>
      <c r="D49" s="69">
        <v>48.800003051757798</v>
      </c>
      <c r="E49" s="69">
        <v>46.8099975585938</v>
      </c>
      <c r="F49" s="69">
        <v>113.97512054443401</v>
      </c>
      <c r="G49" s="69">
        <v>1</v>
      </c>
      <c r="H49" s="69">
        <v>55</v>
      </c>
      <c r="I49" s="69" t="s">
        <v>375</v>
      </c>
      <c r="J49" s="69">
        <v>0</v>
      </c>
      <c r="K49" s="69">
        <v>0.30000001192092901</v>
      </c>
      <c r="L49" s="69">
        <v>0</v>
      </c>
      <c r="M49" s="69">
        <v>91.853698730468807</v>
      </c>
      <c r="N49" s="69">
        <v>0</v>
      </c>
    </row>
    <row r="50" spans="1:14">
      <c r="A50" s="69">
        <v>60</v>
      </c>
      <c r="B50" s="69" t="s">
        <v>376</v>
      </c>
      <c r="C50" s="69">
        <v>41.099990844726598</v>
      </c>
      <c r="D50" s="69">
        <v>43.900009155273402</v>
      </c>
      <c r="E50" s="69">
        <v>0</v>
      </c>
      <c r="F50" s="69">
        <v>99.508193969726605</v>
      </c>
      <c r="G50" s="69">
        <v>0</v>
      </c>
      <c r="H50" s="69">
        <v>60</v>
      </c>
      <c r="I50" s="69" t="s">
        <v>377</v>
      </c>
      <c r="J50" s="69">
        <v>0</v>
      </c>
      <c r="K50" s="69">
        <v>0.31000000238418601</v>
      </c>
      <c r="L50" s="69">
        <v>0</v>
      </c>
      <c r="M50" s="69">
        <v>80.793182373046903</v>
      </c>
      <c r="N50" s="69">
        <v>0</v>
      </c>
    </row>
    <row r="51" spans="1:14">
      <c r="A51" s="69">
        <v>65</v>
      </c>
      <c r="B51" s="69" t="s">
        <v>378</v>
      </c>
      <c r="C51" s="69">
        <v>36.599990844726598</v>
      </c>
      <c r="D51" s="69">
        <v>37.0499877929688</v>
      </c>
      <c r="E51" s="69">
        <v>37.199996948242202</v>
      </c>
      <c r="F51" s="69">
        <v>52.473384857177699</v>
      </c>
      <c r="G51" s="69">
        <v>9</v>
      </c>
      <c r="H51" s="69">
        <v>65</v>
      </c>
      <c r="I51" s="69" t="s">
        <v>379</v>
      </c>
      <c r="J51" s="69">
        <v>0</v>
      </c>
      <c r="K51" s="69">
        <v>0.33000004291534402</v>
      </c>
      <c r="L51" s="69">
        <v>0</v>
      </c>
      <c r="M51" s="69">
        <v>70.869239807128906</v>
      </c>
      <c r="N51" s="69">
        <v>0</v>
      </c>
    </row>
    <row r="52" spans="1:14">
      <c r="A52" s="69">
        <v>70</v>
      </c>
      <c r="B52" s="69" t="s">
        <v>380</v>
      </c>
      <c r="C52" s="69">
        <v>30.099990844726602</v>
      </c>
      <c r="D52" s="69">
        <v>33.949996948242202</v>
      </c>
      <c r="E52" s="69">
        <v>0</v>
      </c>
      <c r="F52" s="69">
        <v>58.318485260009801</v>
      </c>
      <c r="G52" s="69">
        <v>0</v>
      </c>
      <c r="H52" s="69">
        <v>70</v>
      </c>
      <c r="I52" s="69" t="s">
        <v>381</v>
      </c>
      <c r="J52" s="69">
        <v>0</v>
      </c>
      <c r="K52" s="69">
        <v>0.40000003576278698</v>
      </c>
      <c r="L52" s="69">
        <v>0</v>
      </c>
      <c r="M52" s="69">
        <v>63.087574005127003</v>
      </c>
      <c r="N52" s="69">
        <v>0</v>
      </c>
    </row>
    <row r="53" spans="1:14">
      <c r="A53" s="69">
        <v>75</v>
      </c>
      <c r="B53" s="69" t="s">
        <v>382</v>
      </c>
      <c r="C53" s="69">
        <v>26.6000061035156</v>
      </c>
      <c r="D53" s="69">
        <v>27.3500061035156</v>
      </c>
      <c r="E53" s="69">
        <v>0</v>
      </c>
      <c r="F53" s="69">
        <v>45.521427154541001</v>
      </c>
      <c r="G53" s="69">
        <v>0</v>
      </c>
      <c r="H53" s="69">
        <v>75</v>
      </c>
      <c r="I53" s="69" t="s">
        <v>383</v>
      </c>
      <c r="J53" s="69">
        <v>3.0000001192092899E-2</v>
      </c>
      <c r="K53" s="69">
        <v>0.490000009536743</v>
      </c>
      <c r="L53" s="69">
        <v>0.25</v>
      </c>
      <c r="M53" s="69">
        <v>48.777530670166001</v>
      </c>
      <c r="N53" s="69">
        <v>1</v>
      </c>
    </row>
    <row r="54" spans="1:14">
      <c r="A54" s="69">
        <v>80</v>
      </c>
      <c r="B54" s="69" t="s">
        <v>384</v>
      </c>
      <c r="C54" s="69">
        <v>20.5499877929688</v>
      </c>
      <c r="D54" s="69">
        <v>23.75</v>
      </c>
      <c r="E54" s="69">
        <v>0</v>
      </c>
      <c r="F54" s="69">
        <v>42.967533111572301</v>
      </c>
      <c r="G54" s="69">
        <v>0</v>
      </c>
      <c r="H54" s="69">
        <v>80</v>
      </c>
      <c r="I54" s="69" t="s">
        <v>385</v>
      </c>
      <c r="J54" s="69">
        <v>0.129999995231628</v>
      </c>
      <c r="K54" s="69">
        <v>0.19999998807907099</v>
      </c>
      <c r="L54" s="69">
        <v>0.16000002622604401</v>
      </c>
      <c r="M54" s="69">
        <v>36.628978729247997</v>
      </c>
      <c r="N54" s="69">
        <v>1</v>
      </c>
    </row>
    <row r="55" spans="1:14">
      <c r="A55" s="69">
        <v>85</v>
      </c>
      <c r="B55" s="69" t="s">
        <v>386</v>
      </c>
      <c r="C55" s="69">
        <v>15.6499996185303</v>
      </c>
      <c r="D55" s="69">
        <v>18.25</v>
      </c>
      <c r="E55" s="69">
        <v>0</v>
      </c>
      <c r="F55" s="69">
        <v>25.937290191650401</v>
      </c>
      <c r="G55" s="69">
        <v>0</v>
      </c>
      <c r="H55" s="69">
        <v>85</v>
      </c>
      <c r="I55" s="69" t="s">
        <v>387</v>
      </c>
      <c r="J55" s="69">
        <v>5.0000000745058101E-2</v>
      </c>
      <c r="K55" s="69">
        <v>0.480000019073486</v>
      </c>
      <c r="L55" s="69">
        <v>0.259999990463257</v>
      </c>
      <c r="M55" s="69">
        <v>31.540990829467798</v>
      </c>
      <c r="N55" s="69">
        <v>33</v>
      </c>
    </row>
    <row r="56" spans="1:14">
      <c r="A56" s="69">
        <v>90</v>
      </c>
      <c r="B56" s="69" t="s">
        <v>388</v>
      </c>
      <c r="C56" s="69">
        <v>12.1499996185303</v>
      </c>
      <c r="D56" s="69">
        <v>12.550000190734901</v>
      </c>
      <c r="E56" s="69">
        <v>0</v>
      </c>
      <c r="F56" s="69">
        <v>28.038425445556602</v>
      </c>
      <c r="G56" s="69">
        <v>0</v>
      </c>
      <c r="H56" s="69">
        <v>90</v>
      </c>
      <c r="I56" s="69" t="s">
        <v>389</v>
      </c>
      <c r="J56" s="69">
        <v>0.480000019073486</v>
      </c>
      <c r="K56" s="69">
        <v>0.55000001192092896</v>
      </c>
      <c r="L56" s="69">
        <v>0.480000019073486</v>
      </c>
      <c r="M56" s="69">
        <v>27.534162521362301</v>
      </c>
      <c r="N56" s="69">
        <v>64</v>
      </c>
    </row>
    <row r="57" spans="1:14">
      <c r="A57" s="69">
        <v>95</v>
      </c>
      <c r="B57" s="69" t="s">
        <v>390</v>
      </c>
      <c r="C57" s="69">
        <v>7.8499994277954102</v>
      </c>
      <c r="D57" s="69">
        <v>8</v>
      </c>
      <c r="E57" s="69">
        <v>7.9499998092651403</v>
      </c>
      <c r="F57" s="69">
        <v>25.0425128936768</v>
      </c>
      <c r="G57" s="69">
        <v>10</v>
      </c>
      <c r="H57" s="69">
        <v>95</v>
      </c>
      <c r="I57" s="69" t="s">
        <v>391</v>
      </c>
      <c r="J57" s="69">
        <v>1.1399993896484399</v>
      </c>
      <c r="K57" s="69">
        <v>1.44999980926514</v>
      </c>
      <c r="L57" s="69">
        <v>1.1800003051757799</v>
      </c>
      <c r="M57" s="69">
        <v>25.9726467132568</v>
      </c>
      <c r="N57" s="69">
        <v>656</v>
      </c>
    </row>
    <row r="58" spans="1:14">
      <c r="A58" s="69">
        <v>100</v>
      </c>
      <c r="B58" s="69" t="s">
        <v>392</v>
      </c>
      <c r="C58" s="69">
        <v>4.25</v>
      </c>
      <c r="D58" s="69">
        <v>4.4000005722045898</v>
      </c>
      <c r="E58" s="69">
        <v>4.3000001907348597</v>
      </c>
      <c r="F58" s="69">
        <v>23.473512649536101</v>
      </c>
      <c r="G58" s="69">
        <v>46</v>
      </c>
      <c r="H58" s="69">
        <v>100</v>
      </c>
      <c r="I58" s="69" t="s">
        <v>393</v>
      </c>
      <c r="J58" s="69">
        <v>2.6800003051757799</v>
      </c>
      <c r="K58" s="69">
        <v>2.75</v>
      </c>
      <c r="L58" s="69">
        <v>2.6999998092651398</v>
      </c>
      <c r="M58" s="69">
        <v>23.4707756042481</v>
      </c>
      <c r="N58" s="69">
        <v>910</v>
      </c>
    </row>
    <row r="59" spans="1:14">
      <c r="A59" s="69">
        <v>105</v>
      </c>
      <c r="B59" s="69" t="s">
        <v>394</v>
      </c>
      <c r="C59" s="69">
        <v>1.8599996566772501</v>
      </c>
      <c r="D59" s="69">
        <v>2.04999923706055</v>
      </c>
      <c r="E59" s="69">
        <v>1.8999996185302701</v>
      </c>
      <c r="F59" s="69">
        <v>22.7873630523682</v>
      </c>
      <c r="G59" s="69">
        <v>289</v>
      </c>
      <c r="H59" s="69">
        <v>105</v>
      </c>
      <c r="I59" s="69" t="s">
        <v>395</v>
      </c>
      <c r="J59" s="69">
        <v>5.0500001907348597</v>
      </c>
      <c r="K59" s="69">
        <v>5.5</v>
      </c>
      <c r="L59" s="69">
        <v>5.3200006484985396</v>
      </c>
      <c r="M59" s="69">
        <v>21.571853637695298</v>
      </c>
      <c r="N59" s="69">
        <v>67</v>
      </c>
    </row>
    <row r="60" spans="1:14">
      <c r="A60" s="69">
        <v>110</v>
      </c>
      <c r="B60" s="69" t="s">
        <v>396</v>
      </c>
      <c r="C60" s="69">
        <v>0.68000000715255704</v>
      </c>
      <c r="D60" s="69">
        <v>0.69999998807907104</v>
      </c>
      <c r="E60" s="69">
        <v>0.68999999761581399</v>
      </c>
      <c r="F60" s="69">
        <v>22.093917846679702</v>
      </c>
      <c r="G60" s="69">
        <v>720</v>
      </c>
      <c r="H60" s="69">
        <v>110</v>
      </c>
      <c r="I60" s="69" t="s">
        <v>397</v>
      </c>
      <c r="J60" s="69">
        <v>8</v>
      </c>
      <c r="K60" s="69">
        <v>9.75</v>
      </c>
      <c r="L60" s="69">
        <v>0</v>
      </c>
      <c r="M60" s="69">
        <v>17.79758644104</v>
      </c>
      <c r="N60" s="69">
        <v>0</v>
      </c>
    </row>
    <row r="61" spans="1:14">
      <c r="A61" s="69">
        <v>115</v>
      </c>
      <c r="B61" s="69" t="s">
        <v>398</v>
      </c>
      <c r="C61" s="69">
        <v>0.230000019073486</v>
      </c>
      <c r="D61" s="69">
        <v>0.25</v>
      </c>
      <c r="E61" s="69">
        <v>0.25</v>
      </c>
      <c r="F61" s="69">
        <v>22.714271545410199</v>
      </c>
      <c r="G61" s="69">
        <v>219</v>
      </c>
      <c r="H61" s="69">
        <v>115</v>
      </c>
      <c r="I61" s="69" t="s">
        <v>399</v>
      </c>
      <c r="J61" s="69">
        <v>13.6499996185303</v>
      </c>
      <c r="K61" s="69">
        <v>14.199999809265099</v>
      </c>
      <c r="L61" s="69">
        <v>13.800000190734901</v>
      </c>
      <c r="M61" s="69">
        <v>26.2000522613525</v>
      </c>
      <c r="N61" s="69">
        <v>2</v>
      </c>
    </row>
    <row r="62" spans="1:14">
      <c r="A62" s="69">
        <v>120</v>
      </c>
      <c r="B62" s="69" t="s">
        <v>400</v>
      </c>
      <c r="C62" s="69">
        <v>1.00000016391277E-2</v>
      </c>
      <c r="D62" s="69">
        <v>0.110000014305115</v>
      </c>
      <c r="E62" s="69">
        <v>5.0000000745058101E-2</v>
      </c>
      <c r="F62" s="69">
        <v>22.4373264312744</v>
      </c>
      <c r="G62" s="69">
        <v>15</v>
      </c>
      <c r="H62" s="69">
        <v>120</v>
      </c>
      <c r="I62" s="69" t="s">
        <v>401</v>
      </c>
      <c r="J62" s="69">
        <v>17.1000061035156</v>
      </c>
      <c r="K62" s="69">
        <v>19</v>
      </c>
      <c r="L62" s="69">
        <v>0</v>
      </c>
      <c r="M62" s="69">
        <v>0</v>
      </c>
      <c r="N62" s="69">
        <v>0</v>
      </c>
    </row>
    <row r="63" spans="1:14">
      <c r="A63" s="69">
        <v>125</v>
      </c>
      <c r="B63" s="69" t="s">
        <v>402</v>
      </c>
      <c r="C63" s="69">
        <v>1.9999999552965199E-2</v>
      </c>
      <c r="D63" s="69">
        <v>5.0000000745058101E-2</v>
      </c>
      <c r="E63" s="69">
        <v>3.0000001192092899E-2</v>
      </c>
      <c r="F63" s="69">
        <v>25.0926208496094</v>
      </c>
      <c r="G63" s="69">
        <v>101</v>
      </c>
      <c r="H63" s="69">
        <v>125</v>
      </c>
      <c r="I63" s="69" t="s">
        <v>403</v>
      </c>
      <c r="J63" s="69">
        <v>23.349990844726602</v>
      </c>
      <c r="K63" s="69">
        <v>24.099990844726602</v>
      </c>
      <c r="L63" s="69">
        <v>0</v>
      </c>
      <c r="M63" s="69">
        <v>33.159996032714801</v>
      </c>
      <c r="N63" s="69">
        <v>0</v>
      </c>
    </row>
    <row r="64" spans="1:14">
      <c r="A64" s="69">
        <v>130</v>
      </c>
      <c r="B64" s="69" t="s">
        <v>404</v>
      </c>
      <c r="C64" s="69">
        <v>9.9999997764825804E-3</v>
      </c>
      <c r="D64" s="69">
        <v>0.18000000715255701</v>
      </c>
      <c r="E64" s="69">
        <v>0</v>
      </c>
      <c r="F64" s="69">
        <v>33.356288909912102</v>
      </c>
      <c r="G64" s="69">
        <v>0</v>
      </c>
      <c r="H64" s="69">
        <v>130</v>
      </c>
      <c r="I64" s="69" t="s">
        <v>405</v>
      </c>
      <c r="J64" s="69">
        <v>27.1000061035156</v>
      </c>
      <c r="K64" s="69">
        <v>29.25</v>
      </c>
      <c r="L64" s="69">
        <v>0</v>
      </c>
      <c r="M64" s="69">
        <v>0</v>
      </c>
      <c r="N64" s="69">
        <v>0</v>
      </c>
    </row>
    <row r="65" spans="1:14">
      <c r="A65" s="69">
        <v>135</v>
      </c>
      <c r="B65" s="69" t="s">
        <v>406</v>
      </c>
      <c r="C65" s="69">
        <v>0</v>
      </c>
      <c r="D65" s="69">
        <v>0.20999997854232799</v>
      </c>
      <c r="E65" s="69">
        <v>0</v>
      </c>
      <c r="F65" s="69">
        <v>42.563526153564503</v>
      </c>
      <c r="G65" s="69">
        <v>0</v>
      </c>
      <c r="H65" s="69">
        <v>135</v>
      </c>
      <c r="I65" s="69" t="s">
        <v>407</v>
      </c>
      <c r="J65" s="69">
        <v>31.5</v>
      </c>
      <c r="K65" s="69">
        <v>35.199996948242202</v>
      </c>
      <c r="L65" s="69">
        <v>0</v>
      </c>
      <c r="M65" s="69">
        <v>0</v>
      </c>
      <c r="N65" s="69">
        <v>0</v>
      </c>
    </row>
    <row r="66" spans="1:14">
      <c r="A66" s="69">
        <v>140</v>
      </c>
      <c r="B66" s="69" t="s">
        <v>408</v>
      </c>
      <c r="C66" s="69">
        <v>0</v>
      </c>
      <c r="D66" s="69">
        <v>0.30000001192092901</v>
      </c>
      <c r="E66" s="69">
        <v>0</v>
      </c>
      <c r="F66" s="69">
        <v>49.891914367675803</v>
      </c>
      <c r="G66" s="69">
        <v>0</v>
      </c>
      <c r="H66" s="69">
        <v>140</v>
      </c>
      <c r="I66" s="69" t="s">
        <v>409</v>
      </c>
      <c r="J66" s="69">
        <v>37.349990844726598</v>
      </c>
      <c r="K66" s="69">
        <v>40.349990844726598</v>
      </c>
      <c r="L66" s="69">
        <v>0</v>
      </c>
      <c r="M66" s="69">
        <v>53.090377807617202</v>
      </c>
      <c r="N66" s="69">
        <v>0</v>
      </c>
    </row>
    <row r="67" spans="1:14">
      <c r="A67" s="69">
        <v>145</v>
      </c>
      <c r="B67" s="69" t="s">
        <v>410</v>
      </c>
      <c r="C67" s="69">
        <v>0</v>
      </c>
      <c r="D67" s="69">
        <v>0.29000002145767201</v>
      </c>
      <c r="E67" s="69">
        <v>0</v>
      </c>
      <c r="F67" s="69">
        <v>53.846221923828097</v>
      </c>
      <c r="G67" s="69">
        <v>0</v>
      </c>
      <c r="H67" s="69">
        <v>145</v>
      </c>
      <c r="I67" s="69" t="s">
        <v>411</v>
      </c>
      <c r="J67" s="69">
        <v>41.449996948242202</v>
      </c>
      <c r="K67" s="69">
        <v>45.449996948242202</v>
      </c>
      <c r="L67" s="69">
        <v>0</v>
      </c>
      <c r="M67" s="69">
        <v>0</v>
      </c>
      <c r="N67" s="69">
        <v>0</v>
      </c>
    </row>
    <row r="68" spans="1:14">
      <c r="A68" s="69">
        <v>150</v>
      </c>
      <c r="B68" s="69" t="s">
        <v>412</v>
      </c>
      <c r="C68" s="69">
        <v>0</v>
      </c>
      <c r="D68" s="69">
        <v>1.00000016391277E-2</v>
      </c>
      <c r="E68" s="69">
        <v>0</v>
      </c>
      <c r="F68" s="69">
        <v>38.001392364502003</v>
      </c>
      <c r="G68" s="69">
        <v>0</v>
      </c>
      <c r="H68" s="69">
        <v>150</v>
      </c>
      <c r="I68" s="69" t="s">
        <v>413</v>
      </c>
      <c r="J68" s="69">
        <v>46.449996948242202</v>
      </c>
      <c r="K68" s="69">
        <v>50.449996948242202</v>
      </c>
      <c r="L68" s="69">
        <v>0</v>
      </c>
      <c r="M68" s="69">
        <v>0</v>
      </c>
      <c r="N68" s="69">
        <v>0</v>
      </c>
    </row>
    <row r="69" spans="1:14">
      <c r="A69" s="69">
        <v>155</v>
      </c>
      <c r="B69" s="69" t="s">
        <v>414</v>
      </c>
      <c r="C69" s="69">
        <v>0</v>
      </c>
      <c r="D69" s="69">
        <v>1.00000016391277E-2</v>
      </c>
      <c r="E69" s="69">
        <v>0</v>
      </c>
      <c r="F69" s="69">
        <v>40.824825286865199</v>
      </c>
      <c r="G69" s="69">
        <v>0</v>
      </c>
      <c r="H69" s="69">
        <v>155</v>
      </c>
      <c r="I69" s="69" t="s">
        <v>415</v>
      </c>
      <c r="J69" s="69">
        <v>51.699996948242202</v>
      </c>
      <c r="K69" s="69">
        <v>55.449996948242202</v>
      </c>
      <c r="L69" s="69">
        <v>0</v>
      </c>
      <c r="M69" s="69">
        <v>57.475337982177699</v>
      </c>
      <c r="N69" s="69">
        <v>0</v>
      </c>
    </row>
    <row r="70" spans="1:14">
      <c r="A70" s="69">
        <v>160</v>
      </c>
      <c r="B70" s="69" t="s">
        <v>416</v>
      </c>
      <c r="C70" s="69">
        <v>0</v>
      </c>
      <c r="D70" s="69">
        <v>0.10000002384185799</v>
      </c>
      <c r="E70" s="69">
        <v>0</v>
      </c>
      <c r="F70" s="69">
        <v>55.960182189941399</v>
      </c>
      <c r="G70" s="69">
        <v>0</v>
      </c>
      <c r="H70" s="69">
        <v>160</v>
      </c>
      <c r="I70" s="69" t="s">
        <v>417</v>
      </c>
      <c r="J70" s="69">
        <v>56.800003051757798</v>
      </c>
      <c r="K70" s="69">
        <v>60.25</v>
      </c>
      <c r="L70" s="69">
        <v>0</v>
      </c>
      <c r="M70" s="69">
        <v>0</v>
      </c>
      <c r="N70" s="69">
        <v>0</v>
      </c>
    </row>
    <row r="71" spans="1:14">
      <c r="A71" s="69">
        <v>165</v>
      </c>
      <c r="B71" s="69" t="s">
        <v>418</v>
      </c>
      <c r="C71" s="69">
        <v>0</v>
      </c>
      <c r="D71" s="69">
        <v>0.28000003099441501</v>
      </c>
      <c r="E71" s="69">
        <v>0</v>
      </c>
      <c r="F71" s="69">
        <v>68.568016052246094</v>
      </c>
      <c r="G71" s="69">
        <v>0</v>
      </c>
      <c r="H71" s="69">
        <v>165</v>
      </c>
      <c r="I71" s="69" t="s">
        <v>419</v>
      </c>
      <c r="J71" s="69">
        <v>61.649993896484403</v>
      </c>
      <c r="K71" s="69">
        <v>65.300003051757798</v>
      </c>
      <c r="L71" s="69">
        <v>0</v>
      </c>
      <c r="M71" s="69">
        <v>0</v>
      </c>
      <c r="N71" s="69">
        <v>0</v>
      </c>
    </row>
    <row r="72" spans="1:14">
      <c r="A72" s="69">
        <v>170</v>
      </c>
      <c r="B72" s="69" t="s">
        <v>420</v>
      </c>
      <c r="C72" s="69">
        <v>0</v>
      </c>
      <c r="D72" s="69">
        <v>0.28000003099441501</v>
      </c>
      <c r="E72" s="69">
        <v>0</v>
      </c>
      <c r="F72" s="69">
        <v>71.937194824218807</v>
      </c>
      <c r="G72" s="69">
        <v>0</v>
      </c>
      <c r="H72" s="69">
        <v>170</v>
      </c>
      <c r="I72" s="69" t="s">
        <v>421</v>
      </c>
      <c r="J72" s="69">
        <v>66.449996948242202</v>
      </c>
      <c r="K72" s="69">
        <v>70.449996948242202</v>
      </c>
      <c r="L72" s="69">
        <v>0</v>
      </c>
      <c r="M72" s="69">
        <v>0</v>
      </c>
      <c r="N72" s="69">
        <v>0</v>
      </c>
    </row>
    <row r="73" spans="1:14">
      <c r="A73" s="69">
        <v>175</v>
      </c>
      <c r="B73" s="69" t="s">
        <v>422</v>
      </c>
      <c r="C73" s="69">
        <v>0</v>
      </c>
      <c r="D73" s="69">
        <v>0.27999997138977101</v>
      </c>
      <c r="E73" s="69">
        <v>0</v>
      </c>
      <c r="F73" s="69">
        <v>75.171760559082003</v>
      </c>
      <c r="G73" s="69">
        <v>0</v>
      </c>
      <c r="H73" s="69">
        <v>175</v>
      </c>
      <c r="I73" s="69" t="s">
        <v>423</v>
      </c>
      <c r="J73" s="69">
        <v>71.699996948242202</v>
      </c>
      <c r="K73" s="69">
        <v>75.349990844726605</v>
      </c>
      <c r="L73" s="69">
        <v>0</v>
      </c>
      <c r="M73" s="69">
        <v>0</v>
      </c>
      <c r="N73" s="69">
        <v>0</v>
      </c>
    </row>
  </sheetData>
  <autoFilter ref="A6:N73" xr:uid="{D12D7BE3-2969-4D74-8677-D36742D28001}"/>
  <mergeCells count="5">
    <mergeCell ref="A1:N1"/>
    <mergeCell ref="A5:G5"/>
    <mergeCell ref="H5:N5"/>
    <mergeCell ref="A7:G7"/>
    <mergeCell ref="A48:G4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Mahek Rajesh Kathuria</dc:creator>
  <cp:keywords/>
  <dc:description/>
  <cp:lastModifiedBy/>
  <cp:revision/>
  <dcterms:created xsi:type="dcterms:W3CDTF">2024-11-27T23:56:26Z</dcterms:created>
  <dcterms:modified xsi:type="dcterms:W3CDTF">2024-12-04T21:40:07Z</dcterms:modified>
  <cp:category/>
  <cp:contentStatus/>
</cp:coreProperties>
</file>