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FECBDFE8-00ED-4399-90B5-938F0FCA5DD9}" xr6:coauthVersionLast="47" xr6:coauthVersionMax="47" xr10:uidLastSave="{00000000-0000-0000-0000-000000000000}"/>
  <bookViews>
    <workbookView xWindow="-108" yWindow="-108" windowWidth="24792" windowHeight="14856" xr2:uid="{3EF9681C-D028-447E-B2AD-55271E824886}"/>
  </bookViews>
  <sheets>
    <sheet name="Income Statement" sheetId="3" r:id="rId1"/>
    <sheet name="Balance Sheet" sheetId="4" r:id="rId2"/>
    <sheet name="Cash Flow Statement" sheetId="5" r:id="rId3"/>
    <sheet name="Assumptions" sheetId="6" r:id="rId4"/>
    <sheet name="FCFF Forecast" sheetId="7" r:id="rId5"/>
    <sheet name="DCF Valuation" sheetId="8" r:id="rId6"/>
    <sheet name="Valuation Summary" sheetId="9" r:id="rId7"/>
    <sheet name="Sensitivity Analysi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10"/>
  <c r="B5" i="10"/>
  <c r="B6" i="10"/>
  <c r="B7" i="10"/>
  <c r="B3" i="10"/>
  <c r="E5" i="10"/>
  <c r="E4" i="10"/>
  <c r="E3" i="10"/>
  <c r="E2" i="10"/>
  <c r="B1" i="10"/>
  <c r="B8" i="9"/>
  <c r="B7" i="9"/>
  <c r="B6" i="9"/>
  <c r="B5" i="9"/>
  <c r="B4" i="9"/>
  <c r="B3" i="9"/>
  <c r="B2" i="9"/>
  <c r="B14" i="8"/>
  <c r="B10" i="8"/>
  <c r="C29" i="8"/>
  <c r="C21" i="8"/>
  <c r="B21" i="8"/>
  <c r="C22" i="8" s="1"/>
  <c r="C20" i="8"/>
  <c r="C2" i="8"/>
  <c r="D2" i="8"/>
  <c r="E2" i="8"/>
  <c r="F2" i="8"/>
  <c r="B2" i="8"/>
  <c r="J2" i="8"/>
  <c r="U8" i="4"/>
  <c r="T8" i="4"/>
  <c r="S8" i="4"/>
  <c r="R8" i="4"/>
  <c r="Q8" i="4"/>
  <c r="P8" i="4"/>
  <c r="O8" i="4"/>
  <c r="U7" i="4"/>
  <c r="T7" i="4"/>
  <c r="S7" i="4"/>
  <c r="R7" i="4"/>
  <c r="Q7" i="4"/>
  <c r="P7" i="4"/>
  <c r="O7" i="4"/>
  <c r="B3" i="7"/>
  <c r="C3" i="7" s="1"/>
  <c r="D3" i="7" s="1"/>
  <c r="E3" i="7" s="1"/>
  <c r="F3" i="7" s="1"/>
  <c r="F7" i="7" s="1"/>
  <c r="C25" i="8" l="1"/>
  <c r="C27" i="8"/>
  <c r="C32" i="8" s="1"/>
  <c r="E7" i="7"/>
  <c r="B4" i="7"/>
  <c r="D7" i="7"/>
  <c r="C7" i="7"/>
  <c r="B8" i="7"/>
  <c r="D4" i="7"/>
  <c r="F8" i="7"/>
  <c r="E8" i="7"/>
  <c r="D8" i="7"/>
  <c r="C8" i="7"/>
  <c r="F4" i="7"/>
  <c r="E4" i="7"/>
  <c r="C4" i="7"/>
  <c r="B9" i="7"/>
  <c r="F9" i="7"/>
  <c r="E9" i="7"/>
  <c r="D9" i="7"/>
  <c r="C9" i="7"/>
  <c r="B7" i="7"/>
  <c r="C33" i="8" l="1"/>
  <c r="B9" i="8" s="1"/>
  <c r="C5" i="7"/>
  <c r="C6" i="7" s="1"/>
  <c r="C10" i="7" s="1"/>
  <c r="E5" i="7"/>
  <c r="E6" i="7" s="1"/>
  <c r="E10" i="7" s="1"/>
  <c r="F5" i="7"/>
  <c r="F6" i="7" s="1"/>
  <c r="F10" i="7" s="1"/>
  <c r="D5" i="7"/>
  <c r="D6" i="7" s="1"/>
  <c r="D10" i="7" s="1"/>
  <c r="B5" i="7"/>
  <c r="B6" i="7" s="1"/>
  <c r="B10" i="7" s="1"/>
  <c r="C3" i="6"/>
  <c r="D3" i="6"/>
  <c r="E3" i="6"/>
  <c r="F3" i="6"/>
  <c r="B3" i="6"/>
  <c r="C7" i="6"/>
  <c r="D7" i="6"/>
  <c r="E7" i="6"/>
  <c r="F7" i="6"/>
  <c r="B7" i="6"/>
  <c r="B6" i="6"/>
  <c r="C6" i="6" s="1"/>
  <c r="D6" i="6" s="1"/>
  <c r="E6" i="6" s="1"/>
  <c r="F6" i="6" s="1"/>
  <c r="B5" i="6"/>
  <c r="C5" i="6" s="1"/>
  <c r="D5" i="6" s="1"/>
  <c r="E5" i="6" s="1"/>
  <c r="F5" i="6" s="1"/>
  <c r="B4" i="6"/>
  <c r="C4" i="6" s="1"/>
  <c r="D4" i="6" s="1"/>
  <c r="E4" i="6" s="1"/>
  <c r="F4" i="6" s="1"/>
  <c r="B2" i="6"/>
  <c r="C2" i="6" s="1"/>
  <c r="D2" i="6" s="1"/>
  <c r="E2" i="6" s="1"/>
  <c r="F2" i="6" s="1"/>
  <c r="R26" i="5"/>
  <c r="R9" i="3"/>
  <c r="R13" i="3"/>
  <c r="L13" i="3"/>
  <c r="M13" i="3"/>
  <c r="N13" i="3"/>
  <c r="O13" i="3"/>
  <c r="P13" i="3"/>
  <c r="Q13" i="3"/>
  <c r="K13" i="3"/>
  <c r="R11" i="3"/>
  <c r="R12" i="3"/>
  <c r="R10" i="3"/>
  <c r="L12" i="3"/>
  <c r="M12" i="3"/>
  <c r="N12" i="3"/>
  <c r="O12" i="3"/>
  <c r="P12" i="3"/>
  <c r="Q12" i="3"/>
  <c r="K12" i="3"/>
  <c r="F3" i="8" l="1"/>
  <c r="F4" i="8" s="1"/>
  <c r="E3" i="8"/>
  <c r="E4" i="8" s="1"/>
  <c r="D3" i="8"/>
  <c r="D4" i="8" s="1"/>
  <c r="C3" i="8"/>
  <c r="C4" i="8" s="1"/>
  <c r="B4" i="8"/>
  <c r="B5" i="8" s="1"/>
  <c r="G2" i="8"/>
  <c r="G3" i="8" s="1"/>
  <c r="L26" i="5"/>
  <c r="M26" i="5"/>
  <c r="N26" i="5"/>
  <c r="O26" i="5"/>
  <c r="P26" i="5"/>
  <c r="Q26" i="5"/>
  <c r="K26" i="5"/>
  <c r="L25" i="5"/>
  <c r="M25" i="5"/>
  <c r="N25" i="5"/>
  <c r="O25" i="5"/>
  <c r="P25" i="5"/>
  <c r="Q25" i="5"/>
  <c r="K25" i="5"/>
  <c r="C81" i="3"/>
  <c r="D81" i="3"/>
  <c r="E81" i="3"/>
  <c r="F81" i="3"/>
  <c r="G81" i="3"/>
  <c r="H81" i="3"/>
  <c r="B81" i="3"/>
  <c r="B13" i="8" l="1"/>
  <c r="B15" i="8" s="1"/>
  <c r="B16" i="8" s="1"/>
  <c r="D56" i="4" l="1"/>
  <c r="E56" i="4"/>
  <c r="F56" i="4"/>
  <c r="G56" i="4"/>
  <c r="H56" i="4"/>
  <c r="I56" i="4"/>
  <c r="J56" i="4"/>
  <c r="K56" i="4"/>
  <c r="L56" i="4"/>
  <c r="C56" i="4"/>
  <c r="K8" i="3"/>
  <c r="L8" i="3"/>
  <c r="M8" i="3"/>
  <c r="N8" i="3"/>
  <c r="O8" i="3"/>
  <c r="P8" i="3"/>
  <c r="Q8" i="3"/>
  <c r="L10" i="3"/>
  <c r="M10" i="3"/>
  <c r="L11" i="3"/>
  <c r="M11" i="3"/>
  <c r="N11" i="3"/>
  <c r="O11" i="3"/>
  <c r="P11" i="3"/>
  <c r="Q11" i="3"/>
  <c r="K11" i="3"/>
  <c r="M9" i="3"/>
  <c r="N9" i="3"/>
  <c r="O9" i="3"/>
  <c r="P9" i="3"/>
  <c r="Q9" i="3"/>
  <c r="L9" i="3"/>
  <c r="J11" i="3"/>
  <c r="J10" i="3"/>
  <c r="J9" i="3"/>
  <c r="C72" i="3"/>
  <c r="D72" i="3"/>
  <c r="E72" i="3"/>
  <c r="F72" i="3"/>
  <c r="G72" i="3"/>
  <c r="H72" i="3"/>
  <c r="B72" i="3"/>
  <c r="C47" i="3"/>
  <c r="D47" i="3"/>
  <c r="E47" i="3"/>
  <c r="N10" i="3" s="1"/>
  <c r="F47" i="3"/>
  <c r="O10" i="3" s="1"/>
  <c r="G47" i="3"/>
  <c r="P10" i="3" s="1"/>
  <c r="H47" i="3"/>
  <c r="Q10" i="3" s="1"/>
  <c r="B47" i="3"/>
  <c r="K10" i="3" s="1"/>
  <c r="C10" i="3"/>
  <c r="D10" i="3"/>
  <c r="E10" i="3"/>
  <c r="F10" i="3"/>
  <c r="G10" i="3"/>
  <c r="H10" i="3"/>
  <c r="B10" i="3"/>
  <c r="D5" i="3"/>
  <c r="E5" i="3"/>
  <c r="F5" i="3"/>
  <c r="G5" i="3"/>
  <c r="H5" i="3"/>
  <c r="C5" i="3"/>
</calcChain>
</file>

<file path=xl/sharedStrings.xml><?xml version="1.0" encoding="utf-8"?>
<sst xmlns="http://schemas.openxmlformats.org/spreadsheetml/2006/main" count="629" uniqueCount="412">
  <si>
    <t>Rental Expense</t>
  </si>
  <si>
    <t>Depreciation Expense</t>
  </si>
  <si>
    <t>—</t>
  </si>
  <si>
    <t>Capitalized Interest Expense</t>
  </si>
  <si>
    <t>Total Cash Common Dividends</t>
  </si>
  <si>
    <t>Dividends per Share</t>
  </si>
  <si>
    <t>Sales per Employee</t>
  </si>
  <si>
    <t>Profit Margin</t>
  </si>
  <si>
    <t>Operating Margin</t>
  </si>
  <si>
    <t>Gross Margin</t>
  </si>
  <si>
    <t>EBIT</t>
  </si>
  <si>
    <t>EBITA</t>
  </si>
  <si>
    <t>EBITDA</t>
  </si>
  <si>
    <t>US GAAP</t>
  </si>
  <si>
    <t>ACCOUNTING_STANDARD</t>
  </si>
  <si>
    <t>Accounting Standard</t>
  </si>
  <si>
    <t>Reference Items</t>
  </si>
  <si>
    <t>Diluted EPS from Cont Ops, Adjusted</t>
  </si>
  <si>
    <t>Diluted EPS from Cont Ops, GAAP</t>
  </si>
  <si>
    <t>Diluted EPS, GAAP</t>
  </si>
  <si>
    <t>Diluted Weighted Avg Shares</t>
  </si>
  <si>
    <t>Basic EPS from Cont Ops, Adjusted</t>
  </si>
  <si>
    <t>Basic EPS from Cont Ops, GAAP</t>
  </si>
  <si>
    <t>Basic EPS, GAAP</t>
  </si>
  <si>
    <t>Basic Weighted Avg Shares</t>
  </si>
  <si>
    <t xml:space="preserve">  Net Extraordinary Losses (Gains)</t>
  </si>
  <si>
    <t xml:space="preserve">  Net Abnormal Losses (Gains)</t>
  </si>
  <si>
    <t>Net Income Avail to Common, Adj</t>
  </si>
  <si>
    <t>Net Income Avail to Common, GAAP</t>
  </si>
  <si>
    <t xml:space="preserve">  - Other Adjustments</t>
  </si>
  <si>
    <t xml:space="preserve">  - Preferred Dividends</t>
  </si>
  <si>
    <t>Net Income, GAAP</t>
  </si>
  <si>
    <t xml:space="preserve">  - Minority Interest</t>
  </si>
  <si>
    <t>Income (Loss) Incl. MI</t>
  </si>
  <si>
    <t xml:space="preserve">    + XO &amp; Accounting Changes</t>
  </si>
  <si>
    <t xml:space="preserve">    + Discontinued Operations</t>
  </si>
  <si>
    <t xml:space="preserve">  - Net Extraordinary Losses (Gains)</t>
  </si>
  <si>
    <t>Income (Loss) from Cont Ops</t>
  </si>
  <si>
    <t xml:space="preserve">  - (Income) Loss from Affiliates</t>
  </si>
  <si>
    <t xml:space="preserve">    + Deferred Income Tax</t>
  </si>
  <si>
    <t xml:space="preserve">    + Current Income Tax</t>
  </si>
  <si>
    <t xml:space="preserve">  - Income Tax Expense (Benefit)</t>
  </si>
  <si>
    <t>Pretax Income (Loss), GAAP</t>
  </si>
  <si>
    <t xml:space="preserve">    + Other Abnormal Items</t>
  </si>
  <si>
    <t xml:space="preserve">    + Sale of Investments</t>
  </si>
  <si>
    <t xml:space="preserve">    + Restructuring</t>
  </si>
  <si>
    <t xml:space="preserve">    + Legal Settlement</t>
  </si>
  <si>
    <t xml:space="preserve">    + Gain/Loss on Sale/Acquisition of Business</t>
  </si>
  <si>
    <t xml:space="preserve">    + Impairment of Intangibles</t>
  </si>
  <si>
    <t xml:space="preserve">    + Asset Write-Down</t>
  </si>
  <si>
    <t xml:space="preserve">    + Disposal of Assets</t>
  </si>
  <si>
    <t xml:space="preserve">    + Abnormal Derivatives</t>
  </si>
  <si>
    <t xml:space="preserve">    + Merger/Acquisition Expense</t>
  </si>
  <si>
    <t xml:space="preserve">  - Abnormal Losses (Gains)</t>
  </si>
  <si>
    <t>Pretax Income (Loss), Adjusted</t>
  </si>
  <si>
    <t xml:space="preserve">    + Other Non-Op (Income) Loss</t>
  </si>
  <si>
    <t xml:space="preserve">    + Foreign Exch (Gain) Loss</t>
  </si>
  <si>
    <t xml:space="preserve">    - Interest Income</t>
  </si>
  <si>
    <t xml:space="preserve">    + Interest Expense</t>
  </si>
  <si>
    <t xml:space="preserve">    + Interest Expense, Net</t>
  </si>
  <si>
    <t xml:space="preserve">  - Non-Operating (Income) Loss</t>
  </si>
  <si>
    <t>Operating Income (Loss)</t>
  </si>
  <si>
    <t xml:space="preserve">    + Other Operating Expense</t>
  </si>
  <si>
    <t xml:space="preserve">    + Research &amp; Development</t>
  </si>
  <si>
    <t xml:space="preserve">    + Selling, General &amp; Admin</t>
  </si>
  <si>
    <t xml:space="preserve">  - Operating Expenses</t>
  </si>
  <si>
    <t xml:space="preserve">  + Other Operating Income</t>
  </si>
  <si>
    <t>Gross Profit</t>
  </si>
  <si>
    <t xml:space="preserve">    + Cost of Goods &amp; Services</t>
  </si>
  <si>
    <t xml:space="preserve">  - Cost of Revenue</t>
  </si>
  <si>
    <t xml:space="preserve">    + Sales &amp; Services Revenue</t>
  </si>
  <si>
    <t>Revenue</t>
  </si>
  <si>
    <t>12/28/2024</t>
  </si>
  <si>
    <t>12/30/2023</t>
  </si>
  <si>
    <t>12/31/2022</t>
  </si>
  <si>
    <t>12/31/2021</t>
  </si>
  <si>
    <t>12/31/2020</t>
  </si>
  <si>
    <t>12/28/2019</t>
  </si>
  <si>
    <t>12/29/2018</t>
  </si>
  <si>
    <t>12 Months Ending</t>
  </si>
  <si>
    <t>FY 2024</t>
  </si>
  <si>
    <t>FY 2023</t>
  </si>
  <si>
    <t>FY 2022</t>
  </si>
  <si>
    <t>FY 2021</t>
  </si>
  <si>
    <t>FY 2020</t>
  </si>
  <si>
    <t>FY 2019</t>
  </si>
  <si>
    <t>FY 2018</t>
  </si>
  <si>
    <t>In Millions of USD except Per Share</t>
  </si>
  <si>
    <t>Avery Dennison Corp (AVY US) - BBG Adjusted</t>
  </si>
  <si>
    <t>NUM_OF_EMPLOYEES</t>
  </si>
  <si>
    <t>Number of Employees</t>
  </si>
  <si>
    <t>CASH_CONVERSION_CYCLE</t>
  </si>
  <si>
    <t>Cash Conversion Cycle</t>
  </si>
  <si>
    <t>CUR_RATIO</t>
  </si>
  <si>
    <t>Current Ratio</t>
  </si>
  <si>
    <t>TCE_RATIO</t>
  </si>
  <si>
    <t>Tangible Common Equity Ratio</t>
  </si>
  <si>
    <t>NET_DEBT_TO_SHRHLDR_EQTY</t>
  </si>
  <si>
    <t>Net Debt to Equity</t>
  </si>
  <si>
    <t>NET_DEBT</t>
  </si>
  <si>
    <t>Net Debt</t>
  </si>
  <si>
    <t>BS_OPTIONS_OUTSTANDING</t>
  </si>
  <si>
    <t>Options Outstanding at Period End</t>
  </si>
  <si>
    <t>BS_OPTIONS_GRANTED</t>
  </si>
  <si>
    <t>Options Granted During Period</t>
  </si>
  <si>
    <t>BS_TOTAL_CAPITAL_LEASES</t>
  </si>
  <si>
    <t>Capital Leases - Total</t>
  </si>
  <si>
    <t>BS_FUTURE_MIN_OPER_LEASE_OBLIG</t>
  </si>
  <si>
    <t>Future Minimum Operating Lease Obligations</t>
  </si>
  <si>
    <t>BS_PENSION_RSRV</t>
  </si>
  <si>
    <t>Pension Obligations</t>
  </si>
  <si>
    <t>BS_NUM_OF_TSY_SH</t>
  </si>
  <si>
    <t>Number of Treasury Shares</t>
  </si>
  <si>
    <t>BS_SH_OUT</t>
  </si>
  <si>
    <t>Shares Outstanding</t>
  </si>
  <si>
    <t>TOT_LIAB_AND_EQY</t>
  </si>
  <si>
    <t>Total Liabilities &amp; Equity</t>
  </si>
  <si>
    <t>TOTAL_EQUITY</t>
  </si>
  <si>
    <t>Total Equity</t>
  </si>
  <si>
    <t>MINORITY_NONCONTROLLING_INTEREST</t>
  </si>
  <si>
    <t xml:space="preserve">  + Minority/Non Controlling Interest</t>
  </si>
  <si>
    <t>EQTY_BEF_MINORITY_INT_DETAILED</t>
  </si>
  <si>
    <t>Equity Before Minority Interest</t>
  </si>
  <si>
    <t>OTHER_EQUITY_RATIO</t>
  </si>
  <si>
    <t xml:space="preserve">  + Other Equity</t>
  </si>
  <si>
    <t>BS_PURE_RETAINED_EARNINGS</t>
  </si>
  <si>
    <t xml:space="preserve">  + Retained Earnings</t>
  </si>
  <si>
    <t>BS_AMT_OF_TSY_STOCK</t>
  </si>
  <si>
    <t xml:space="preserve">  - Treasury Stock</t>
  </si>
  <si>
    <t>BS_ADD_PAID_IN_CAP</t>
  </si>
  <si>
    <t xml:space="preserve">    + Additional Paid in Capital</t>
  </si>
  <si>
    <t>BS_COMMON_STOCK</t>
  </si>
  <si>
    <t xml:space="preserve">    + Common Stock</t>
  </si>
  <si>
    <t>BS_SH_CAP_AND_APIC</t>
  </si>
  <si>
    <t xml:space="preserve">  + Share Capital &amp; APIC</t>
  </si>
  <si>
    <t>PFD_EQTY_HYBRID_CAPITAL</t>
  </si>
  <si>
    <t xml:space="preserve">  + Preferred Equity and Hybrid Capital</t>
  </si>
  <si>
    <t>BS_TOT_LIAB2</t>
  </si>
  <si>
    <t>Total Liabilities</t>
  </si>
  <si>
    <t>NON_CUR_LIAB</t>
  </si>
  <si>
    <t>Total Noncurrent Liabilities</t>
  </si>
  <si>
    <t>OTHER_NONCURRENT_LIABS_DETAILED</t>
  </si>
  <si>
    <t xml:space="preserve">    + Misc LT Liabilities</t>
  </si>
  <si>
    <t>BS_DERIV_HEDGING_LIAB_LT</t>
  </si>
  <si>
    <t xml:space="preserve">    + Derivatives &amp; Hedging</t>
  </si>
  <si>
    <t>BS_DEFERRED_TAX_LIABILITIES_LT</t>
  </si>
  <si>
    <t xml:space="preserve">    + Deferred Tax Liabilities</t>
  </si>
  <si>
    <t>LT_DEFERRED_REVENUE</t>
  </si>
  <si>
    <t xml:space="preserve">    + Deferred Revenue</t>
  </si>
  <si>
    <t>PENSION_LIABILITIES</t>
  </si>
  <si>
    <t xml:space="preserve">    + Pension Liabilities</t>
  </si>
  <si>
    <t>BS_ACCRUED_LIABILITIES</t>
  </si>
  <si>
    <t xml:space="preserve">    + Accrued Liabilities</t>
  </si>
  <si>
    <t>OTHER_NONCUR_LIABS_SUB_DETAILED</t>
  </si>
  <si>
    <t xml:space="preserve">  + Other LT Liabilities</t>
  </si>
  <si>
    <t>BS_LT_OPERATING_LEASE_LIABS</t>
  </si>
  <si>
    <t xml:space="preserve">      + LT Operating Leases</t>
  </si>
  <si>
    <t>LT_CAPITAL_LEASE_OBLIGATIONS</t>
  </si>
  <si>
    <t xml:space="preserve">      + LT Finance Leases</t>
  </si>
  <si>
    <t>LT_CAPITALIZED_LEASE_LIABILITIES</t>
  </si>
  <si>
    <t xml:space="preserve">    + LT Lease Liabilities</t>
  </si>
  <si>
    <t>LONG_TERM_BORROWINGS_DETAILED</t>
  </si>
  <si>
    <t xml:space="preserve">    + LT Borrowings</t>
  </si>
  <si>
    <t>BS_LT_BORROW</t>
  </si>
  <si>
    <t xml:space="preserve">  + LT Debt</t>
  </si>
  <si>
    <t>BS_CUR_LIAB</t>
  </si>
  <si>
    <t>Total Current Liabilities</t>
  </si>
  <si>
    <t>OTHER_CURRENT_LIABS_DETAILED</t>
  </si>
  <si>
    <t xml:space="preserve">    + Misc ST Liabilities</t>
  </si>
  <si>
    <t>BS_DERIV_HEDGING_LIAB_ST</t>
  </si>
  <si>
    <t>ST_DEFERRED_REVENUE</t>
  </si>
  <si>
    <t>OTHER_CURRENT_LIABS_SUB_DETAILED</t>
  </si>
  <si>
    <t xml:space="preserve">  + Other ST Liabilities</t>
  </si>
  <si>
    <t>BS_CURR_PORTION_LT_DEBT</t>
  </si>
  <si>
    <t xml:space="preserve">    + Current Portion of LT Debt</t>
  </si>
  <si>
    <t>BS_ST_OPERATING_LEASE_LIABS</t>
  </si>
  <si>
    <t xml:space="preserve">      + ST Operating Leases</t>
  </si>
  <si>
    <t>ST_CAPITAL_LEASE_OBLIGATIONS</t>
  </si>
  <si>
    <t xml:space="preserve">      + ST Finance Leases</t>
  </si>
  <si>
    <t>ST_CAPITALIZED_LEASE_LIABILITIES</t>
  </si>
  <si>
    <t xml:space="preserve">    + ST Lease Liabilities</t>
  </si>
  <si>
    <t>SHORT_TERM_DEBT_DETAILED</t>
  </si>
  <si>
    <t xml:space="preserve">    + ST Borrowings</t>
  </si>
  <si>
    <t>BS_ST_BORROW</t>
  </si>
  <si>
    <t xml:space="preserve">  + ST Debt</t>
  </si>
  <si>
    <t>BS_ACCRUAL</t>
  </si>
  <si>
    <t xml:space="preserve">    + Other Payables &amp; Accruals</t>
  </si>
  <si>
    <t>BS_TAXES_PAYABLE</t>
  </si>
  <si>
    <t xml:space="preserve">    + Accrued Taxes</t>
  </si>
  <si>
    <t>BS_ACCT_PAYABLE</t>
  </si>
  <si>
    <t xml:space="preserve">    + Accounts Payable</t>
  </si>
  <si>
    <t>ACCT_PAYABLE_ACCRUALS_DETAILED</t>
  </si>
  <si>
    <t xml:space="preserve">  + Payables &amp; Accruals</t>
  </si>
  <si>
    <t>Liabilities &amp; Shareholders' Equity</t>
  </si>
  <si>
    <t>BS_TOT_ASSET</t>
  </si>
  <si>
    <t>Total Assets</t>
  </si>
  <si>
    <t>BS_TOT_NON_CUR_ASSET</t>
  </si>
  <si>
    <t>Total Noncurrent Assets</t>
  </si>
  <si>
    <t>OTHER_NONCURRENT_ASSETS_DETAILED</t>
  </si>
  <si>
    <t xml:space="preserve">    + Misc LT Assets</t>
  </si>
  <si>
    <t>BS_INVEST_IN_ASSOC_CO</t>
  </si>
  <si>
    <t xml:space="preserve">    + Investments in Affiliates</t>
  </si>
  <si>
    <t>BS_PREPAID_PENSION_COSTS_LT</t>
  </si>
  <si>
    <t xml:space="preserve">    + Prepaid Pension Costs</t>
  </si>
  <si>
    <t>BS_DERIV_HEDGING_ASST_LT</t>
  </si>
  <si>
    <t xml:space="preserve">    + Derivative &amp; Hedging Assets</t>
  </si>
  <si>
    <t>BS_DEFERRED_TAX_ASSETS_LT</t>
  </si>
  <si>
    <t xml:space="preserve">    + Deferred Tax Assets</t>
  </si>
  <si>
    <t>OTHER_INTANGIBLE_ASSETS_DETAILED</t>
  </si>
  <si>
    <t xml:space="preserve">    + Other Intangible Assets</t>
  </si>
  <si>
    <t>BS_GOODWILL</t>
  </si>
  <si>
    <t xml:space="preserve">    + Goodwill</t>
  </si>
  <si>
    <t>BS_DISCLOSED_INTANGIBLES</t>
  </si>
  <si>
    <t xml:space="preserve">    + Total Intangible Assets</t>
  </si>
  <si>
    <t>BS_OTHER_ASSETS_DEF_CHRG_OTHER</t>
  </si>
  <si>
    <t xml:space="preserve">  + Other LT Assets</t>
  </si>
  <si>
    <t>BS_LT_INVEST</t>
  </si>
  <si>
    <t xml:space="preserve">  + LT Investments &amp; Receivables</t>
  </si>
  <si>
    <t>BS_ACCUM_DEPR</t>
  </si>
  <si>
    <t xml:space="preserve">    - Accumulated Depreciation</t>
  </si>
  <si>
    <t>BS_GROSS_FIX_ASSET</t>
  </si>
  <si>
    <t xml:space="preserve">    + Property, Plant &amp; Equip</t>
  </si>
  <si>
    <t>BS_NET_FIX_ASSET</t>
  </si>
  <si>
    <t xml:space="preserve">  + Property, Plant &amp; Equip, Net</t>
  </si>
  <si>
    <t>BS_CUR_ASSET_REPORT</t>
  </si>
  <si>
    <t>Total Current Assets</t>
  </si>
  <si>
    <t>BS_OTHER_CUR_ASSET_LESS_PREPAY</t>
  </si>
  <si>
    <t xml:space="preserve">    + Misc ST Assets</t>
  </si>
  <si>
    <t>BS_DEFERRED_TAX_ASSETS_ST</t>
  </si>
  <si>
    <t>BS_ASSETS_HELD_FOR_SALE_ST</t>
  </si>
  <si>
    <t xml:space="preserve">    + Assets Held-for-Sale</t>
  </si>
  <si>
    <t>BS_DERIV_HEDGING_ASST_ST</t>
  </si>
  <si>
    <t>OTHER_CURRENT_ASSETS_DETAILED</t>
  </si>
  <si>
    <t xml:space="preserve">  + Other ST Assets</t>
  </si>
  <si>
    <t>BS_OTHER_INV</t>
  </si>
  <si>
    <t xml:space="preserve">    + Other Inventory</t>
  </si>
  <si>
    <t>INVTRY_FINISHED_GOODS</t>
  </si>
  <si>
    <t xml:space="preserve">    + Finished Goods</t>
  </si>
  <si>
    <t>INVTRY_IN_PROGRESS</t>
  </si>
  <si>
    <t xml:space="preserve">    + Work In Process</t>
  </si>
  <si>
    <t>INVTRY_RAW_MATERIALS</t>
  </si>
  <si>
    <t xml:space="preserve">    + Raw Materials</t>
  </si>
  <si>
    <t>BS_INVENTORIES</t>
  </si>
  <si>
    <t xml:space="preserve">  + Inventories</t>
  </si>
  <si>
    <t>NOTES_RECEIVABLE</t>
  </si>
  <si>
    <t xml:space="preserve">    + Notes Receivable, Net</t>
  </si>
  <si>
    <t>BS_ACCTS_REC_EXCL_NOTES_REC</t>
  </si>
  <si>
    <t xml:space="preserve">    + Accounts Receivable, Net</t>
  </si>
  <si>
    <t>BS_ACCT_NOTE_RCV</t>
  </si>
  <si>
    <t xml:space="preserve">  + Accounts &amp; Notes Receiv</t>
  </si>
  <si>
    <t>BS_MKT_SEC_OTHER_ST_INVEST</t>
  </si>
  <si>
    <t xml:space="preserve">    + ST Investments</t>
  </si>
  <si>
    <t>BS_CASH_NEAR_CASH_ITEM</t>
  </si>
  <si>
    <t xml:space="preserve">    + Cash &amp; Cash Equivalents</t>
  </si>
  <si>
    <t>CASH_CASH_EQTY_STI_DETAILED</t>
  </si>
  <si>
    <t xml:space="preserve">  + Cash, Cash Equivalents &amp; STI</t>
  </si>
  <si>
    <t>12/30/2017</t>
  </si>
  <si>
    <t>12/31/2016</t>
  </si>
  <si>
    <t>01/02/2016</t>
  </si>
  <si>
    <t>FY 2017</t>
  </si>
  <si>
    <t>FY 2016</t>
  </si>
  <si>
    <t>FY 2015</t>
  </si>
  <si>
    <t>Avery Dennison Corp (AVY US) - Standardized</t>
  </si>
  <si>
    <t>Cash Flow to Net Income</t>
  </si>
  <si>
    <t>Price to Free Cash Flow</t>
  </si>
  <si>
    <t>Free Cash Flow per Basic Share</t>
  </si>
  <si>
    <t>Free Cash Flow to Equity</t>
  </si>
  <si>
    <t>Free Cash Flow to Firm</t>
  </si>
  <si>
    <t>Free Cash Flow</t>
  </si>
  <si>
    <t>Net Cash Paid for Acquisitions</t>
  </si>
  <si>
    <t>Trailing 12M EBITDA Margin</t>
  </si>
  <si>
    <t>Cash Paid for Interest</t>
  </si>
  <si>
    <t>Cash Paid for Taxes</t>
  </si>
  <si>
    <t>Net Changes in Cash</t>
  </si>
  <si>
    <t xml:space="preserve">  Effect of Foreign Exchange Rates</t>
  </si>
  <si>
    <t>Cash from Financing Activities</t>
  </si>
  <si>
    <t xml:space="preserve">  + Net Cash From Disc Ops</t>
  </si>
  <si>
    <t xml:space="preserve">  + Other Financing Activities</t>
  </si>
  <si>
    <t xml:space="preserve">    + Decrease in Capital Stock</t>
  </si>
  <si>
    <t xml:space="preserve">    + Increase in Capital Stock</t>
  </si>
  <si>
    <t xml:space="preserve">  + Cash (Repurchase) of Equity</t>
  </si>
  <si>
    <t xml:space="preserve">    + Repayments of LT Debt</t>
  </si>
  <si>
    <t xml:space="preserve">    + Cash From LT Debt</t>
  </si>
  <si>
    <t xml:space="preserve">    + Cash From (Repay) ST Debt</t>
  </si>
  <si>
    <t xml:space="preserve">  + Cash From (Repayment) Debt</t>
  </si>
  <si>
    <t xml:space="preserve">  + Dividends Paid</t>
  </si>
  <si>
    <t>Cash from Investing Activities</t>
  </si>
  <si>
    <t xml:space="preserve">  + Other Investing Activities</t>
  </si>
  <si>
    <t xml:space="preserve">    + Cash for JVs</t>
  </si>
  <si>
    <t xml:space="preserve">    + Cash for Acq of Subs</t>
  </si>
  <si>
    <t xml:space="preserve">    + Cash from Divestitures</t>
  </si>
  <si>
    <t xml:space="preserve">  + Net Cash From Acq &amp; Div</t>
  </si>
  <si>
    <t xml:space="preserve">    + Inc in LT Investment</t>
  </si>
  <si>
    <t xml:space="preserve">    + Dec in LT Investment</t>
  </si>
  <si>
    <t xml:space="preserve">  + Net Change in LT Investment</t>
  </si>
  <si>
    <t xml:space="preserve">    + Acq of Intangible Assets</t>
  </si>
  <si>
    <t xml:space="preserve">    + Acq of Fixed Prod Assets</t>
  </si>
  <si>
    <t xml:space="preserve">    + Acq of Fixed &amp; Intang</t>
  </si>
  <si>
    <t xml:space="preserve">    + Disp of Intangible Assets</t>
  </si>
  <si>
    <t xml:space="preserve">    + Disp of Fixed Prod Assets</t>
  </si>
  <si>
    <t xml:space="preserve">    + Disp in Fixed &amp; Intang</t>
  </si>
  <si>
    <t xml:space="preserve">  + Change in Fixed &amp; Intang</t>
  </si>
  <si>
    <t>Cash from Operating Activities</t>
  </si>
  <si>
    <t xml:space="preserve">    + Inc (Dec) in Other</t>
  </si>
  <si>
    <t xml:space="preserve">    + Inc (Dec) in Accts Payable</t>
  </si>
  <si>
    <t xml:space="preserve">    + (Inc) Dec in Inventories</t>
  </si>
  <si>
    <t xml:space="preserve">    + (Inc) Dec in Accts Receiv</t>
  </si>
  <si>
    <t xml:space="preserve">  + Chg in Non-Cash Work Cap</t>
  </si>
  <si>
    <t xml:space="preserve">    + Other Non-Cash Adj</t>
  </si>
  <si>
    <t xml:space="preserve">    + Deferred Income Taxes</t>
  </si>
  <si>
    <t xml:space="preserve">    + Stock-Based Compensation</t>
  </si>
  <si>
    <t xml:space="preserve">  + Non-Cash Items</t>
  </si>
  <si>
    <t xml:space="preserve">  + Depreciation &amp; Amortization</t>
  </si>
  <si>
    <t xml:space="preserve">  + Net Income</t>
  </si>
  <si>
    <t>Revenue Growth (%)</t>
  </si>
  <si>
    <t>Gross Profit Margin (%)</t>
  </si>
  <si>
    <t>Net Profit Margin (%)</t>
  </si>
  <si>
    <t>EBITDA Margin (%)</t>
  </si>
  <si>
    <t>EBIT Margin (%) (Operating Margin)</t>
  </si>
  <si>
    <t>Year</t>
  </si>
  <si>
    <t>Growth Rates &amp; Margins</t>
  </si>
  <si>
    <t>TOTAL DEBT</t>
  </si>
  <si>
    <t>Working Capital Efficiency Analysis</t>
  </si>
  <si>
    <t>Days Sales Outstanding (DSO) (How Quickly Avery Collects Cash)</t>
  </si>
  <si>
    <t>Days Payable Outstanding (DPO) (How long does Avery takes to pay suppliers)</t>
  </si>
  <si>
    <t>Debt and Leverage Analysis</t>
  </si>
  <si>
    <t>Debt to Equity Ratio</t>
  </si>
  <si>
    <t>Debt to Asset Ratio</t>
  </si>
  <si>
    <t>Interest Coverage Ratio</t>
  </si>
  <si>
    <t>Assumptions</t>
  </si>
  <si>
    <t>2025 Est</t>
  </si>
  <si>
    <t>2026 Est</t>
  </si>
  <si>
    <t>2027 Est</t>
  </si>
  <si>
    <t>2028 Est</t>
  </si>
  <si>
    <t>2029 Est</t>
  </si>
  <si>
    <t>Revenue Growth Rate (%)</t>
  </si>
  <si>
    <t>EBIT Margin (%)</t>
  </si>
  <si>
    <t>Depreciation (% of Revenue)</t>
  </si>
  <si>
    <t>Capital Expenditure (% of Revenue)</t>
  </si>
  <si>
    <t>Change in Net Working Capital (% of Revenue)</t>
  </si>
  <si>
    <t>Effective Tax Rate (%)</t>
  </si>
  <si>
    <t>Calculations</t>
  </si>
  <si>
    <t>ΔNWC = NWCₜ – NWCₜ₋₁</t>
  </si>
  <si>
    <t>Income Tax Expense</t>
  </si>
  <si>
    <t>Metric</t>
  </si>
  <si>
    <t>2025E</t>
  </si>
  <si>
    <t>2026E</t>
  </si>
  <si>
    <t>2027E</t>
  </si>
  <si>
    <t>2028E</t>
  </si>
  <si>
    <t>2029E</t>
  </si>
  <si>
    <t>Less: Taxes (EBIT*Tax Rate)</t>
  </si>
  <si>
    <t>NOPAT (EBIT after Tax)</t>
  </si>
  <si>
    <t>Add: Depreciation</t>
  </si>
  <si>
    <t>CapEx</t>
  </si>
  <si>
    <t>CapEx (% of Revenue)</t>
  </si>
  <si>
    <t>Operating Current Assets</t>
  </si>
  <si>
    <t>Operating Current Liabilities</t>
  </si>
  <si>
    <t>NWC [(OpCA) - (OpCL)]</t>
  </si>
  <si>
    <t>ΔNWC (% of Revenue)</t>
  </si>
  <si>
    <t>Pretax Income</t>
  </si>
  <si>
    <t>NOPAT</t>
  </si>
  <si>
    <t>CapEx as % of Revenue</t>
  </si>
  <si>
    <t>Average</t>
  </si>
  <si>
    <t>Given the historical average of 3.78% and the 2024 recovery, we assume a slightly conservative Revenue Growth of 4.0% for 2025–2029, reflecting cautious optimism for continued recovery and growth in high-value categories like Intelligent Labels.</t>
  </si>
  <si>
    <t>Based on 2022–2024 10-K data, we assume an ETR of 26.0% for 2025–2029, aligning with the adjusted ETR trend.</t>
  </si>
  <si>
    <t>Given historical consistency, we assume D&amp;A at 2.0% of Revenue for 2025–2029.</t>
  </si>
  <si>
    <t>We assume CapEx at historical average of Revenue for 2025–2029, balancing historical trends with recent data (2022–2024) at 2.88%.</t>
  </si>
  <si>
    <t>Based on the historical average and 10-K efficiency trends, we assume Change in NWC at 0.51% of Revenue for 2025–2029, due to improved NWC management.</t>
  </si>
  <si>
    <t>Less: Capex</t>
  </si>
  <si>
    <t>Less: Change in Net Working Capital</t>
  </si>
  <si>
    <t>FCFF (Free Cash Flow to Firm)</t>
  </si>
  <si>
    <t>Cost of Equity=Rf​+β×(Rm​−Rf​)</t>
  </si>
  <si>
    <r>
      <t>Rf</t>
    </r>
    <r>
      <rPr>
        <sz val="11"/>
        <color theme="1"/>
        <rFont val="Aptos Narrow"/>
        <family val="2"/>
        <scheme val="minor"/>
      </rPr>
      <t xml:space="preserve"> = 4.01% (from Treasury)</t>
    </r>
  </si>
  <si>
    <r>
      <t>Beta (β)</t>
    </r>
    <r>
      <rPr>
        <sz val="11"/>
        <color theme="1"/>
        <rFont val="Aptos Narrow"/>
        <family val="2"/>
        <scheme val="minor"/>
      </rPr>
      <t xml:space="preserve"> = 0.86 (from Bloomberg)</t>
    </r>
  </si>
  <si>
    <r>
      <t>Market Risk Premium (Rm – Rf)</t>
    </r>
    <r>
      <rPr>
        <sz val="11"/>
        <color theme="1"/>
        <rFont val="Aptos Narrow"/>
        <family val="2"/>
        <scheme val="minor"/>
      </rPr>
      <t xml:space="preserve"> = 6% ✅ (from Bloomberg)</t>
    </r>
  </si>
  <si>
    <t>Terminal Value</t>
  </si>
  <si>
    <t>FCFF</t>
  </si>
  <si>
    <t>PV of FCFF</t>
  </si>
  <si>
    <t>Sum of PV of FCFF</t>
  </si>
  <si>
    <t>Years</t>
  </si>
  <si>
    <t>Dicsount Factror</t>
  </si>
  <si>
    <t>WACC</t>
  </si>
  <si>
    <t>g</t>
  </si>
  <si>
    <t>WACC and g</t>
  </si>
  <si>
    <t>Metrics</t>
  </si>
  <si>
    <t>Value</t>
  </si>
  <si>
    <t>Enterprise Value</t>
  </si>
  <si>
    <t>Net Debt 2024</t>
  </si>
  <si>
    <t>Implied Share Price</t>
  </si>
  <si>
    <t>Equity Value</t>
  </si>
  <si>
    <t>Interest Expense</t>
  </si>
  <si>
    <t>Total Debt</t>
  </si>
  <si>
    <t>Average Debt</t>
  </si>
  <si>
    <t>Cost of Debt</t>
  </si>
  <si>
    <t>Equity (Market Cap)</t>
  </si>
  <si>
    <t>Debt</t>
  </si>
  <si>
    <t>Proportions</t>
  </si>
  <si>
    <t>E/V</t>
  </si>
  <si>
    <t>D/V</t>
  </si>
  <si>
    <t>A 2.5% perpetual growth rate is appropriate, as it’s conservative and aligns with long-term global GDP growth, while accounting for AVY’s stable market position and innovation focus.</t>
  </si>
  <si>
    <t>Growth Rate</t>
  </si>
  <si>
    <t>Valuation Component</t>
  </si>
  <si>
    <t>PV of FCFF (2025-2029)</t>
  </si>
  <si>
    <t>In Millions of USD</t>
  </si>
  <si>
    <t>PV of Terminal Value</t>
  </si>
  <si>
    <t>Enterprise Value (EV)</t>
  </si>
  <si>
    <t>Less: Net Debt</t>
  </si>
  <si>
    <t>Shares Outstanding (millions)</t>
  </si>
  <si>
    <t>Terminal Growth Rate</t>
  </si>
  <si>
    <t>FCFF (2029)</t>
  </si>
  <si>
    <t>Sell (Overvalued)</t>
  </si>
  <si>
    <t>Historical average (2018–2019) is 11.33%. Given productivity gains and high-value category growth, we assume an EBIT Margin of 11.98% for 2025–2029, slightly above historical but reflecting operational improvements noted in 10-Ks.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</si>
</sst>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3" borderId="0" xfId="0" applyFont="1" applyFill="1"/>
    <xf numFmtId="164" fontId="0" fillId="0" borderId="0" xfId="1" applyNumberFormat="1" applyFont="1"/>
    <xf numFmtId="0" fontId="0" fillId="4" borderId="0" xfId="0" applyFill="1"/>
    <xf numFmtId="10" fontId="0" fillId="4" borderId="0" xfId="1" applyNumberFormat="1" applyFont="1" applyFill="1"/>
    <xf numFmtId="10" fontId="0" fillId="4" borderId="0" xfId="0" applyNumberFormat="1" applyFill="1"/>
    <xf numFmtId="10" fontId="0" fillId="0" borderId="0" xfId="0" applyNumberFormat="1"/>
    <xf numFmtId="0" fontId="3" fillId="2" borderId="0" xfId="0" applyFont="1" applyFill="1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10" fontId="0" fillId="0" borderId="0" xfId="1" applyNumberFormat="1" applyFont="1"/>
    <xf numFmtId="0" fontId="2" fillId="6" borderId="0" xfId="0" applyFont="1" applyFill="1"/>
    <xf numFmtId="0" fontId="0" fillId="0" borderId="1" xfId="0" applyBorder="1"/>
    <xf numFmtId="0" fontId="0" fillId="0" borderId="2" xfId="0" applyBorder="1"/>
    <xf numFmtId="0" fontId="0" fillId="7" borderId="1" xfId="0" applyFill="1" applyBorder="1"/>
    <xf numFmtId="0" fontId="0" fillId="7" borderId="2" xfId="0" applyFill="1" applyBorder="1"/>
    <xf numFmtId="0" fontId="0" fillId="0" borderId="4" xfId="0" applyBorder="1"/>
    <xf numFmtId="0" fontId="0" fillId="8" borderId="4" xfId="0" applyFill="1" applyBorder="1"/>
    <xf numFmtId="10" fontId="2" fillId="4" borderId="0" xfId="1" applyNumberFormat="1" applyFont="1" applyFill="1"/>
    <xf numFmtId="10" fontId="2" fillId="4" borderId="0" xfId="0" applyNumberFormat="1" applyFont="1" applyFill="1"/>
    <xf numFmtId="10" fontId="2" fillId="0" borderId="0" xfId="1" applyNumberFormat="1" applyFont="1" applyFill="1"/>
    <xf numFmtId="0" fontId="2" fillId="4" borderId="0" xfId="0" applyFont="1" applyFill="1"/>
    <xf numFmtId="9" fontId="0" fillId="0" borderId="0" xfId="0" applyNumberFormat="1"/>
    <xf numFmtId="10" fontId="0" fillId="0" borderId="2" xfId="0" applyNumberFormat="1" applyBorder="1"/>
    <xf numFmtId="10" fontId="0" fillId="7" borderId="2" xfId="0" applyNumberFormat="1" applyFill="1" applyBorder="1"/>
    <xf numFmtId="0" fontId="2" fillId="7" borderId="1" xfId="0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4" fillId="0" borderId="4" xfId="0" applyFont="1" applyBorder="1"/>
    <xf numFmtId="0" fontId="2" fillId="3" borderId="4" xfId="0" applyFont="1" applyFill="1" applyBorder="1"/>
    <xf numFmtId="0" fontId="2" fillId="0" borderId="4" xfId="0" applyFont="1" applyBorder="1"/>
    <xf numFmtId="0" fontId="2" fillId="6" borderId="1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2" fontId="0" fillId="0" borderId="2" xfId="0" applyNumberFormat="1" applyBorder="1"/>
    <xf numFmtId="2" fontId="0" fillId="0" borderId="3" xfId="0" applyNumberFormat="1" applyBorder="1"/>
    <xf numFmtId="2" fontId="0" fillId="7" borderId="2" xfId="0" applyNumberFormat="1" applyFill="1" applyBorder="1"/>
    <xf numFmtId="2" fontId="0" fillId="7" borderId="3" xfId="0" applyNumberFormat="1" applyFill="1" applyBorder="1"/>
    <xf numFmtId="0" fontId="2" fillId="4" borderId="3" xfId="0" applyFont="1" applyFill="1" applyBorder="1"/>
    <xf numFmtId="0" fontId="0" fillId="4" borderId="3" xfId="0" applyFill="1" applyBorder="1"/>
    <xf numFmtId="10" fontId="0" fillId="0" borderId="2" xfId="1" applyNumberFormat="1" applyFont="1" applyBorder="1"/>
    <xf numFmtId="10" fontId="2" fillId="4" borderId="3" xfId="1" applyNumberFormat="1" applyFont="1" applyFill="1" applyBorder="1"/>
    <xf numFmtId="0" fontId="0" fillId="0" borderId="2" xfId="1" applyNumberFormat="1" applyFont="1" applyBorder="1"/>
    <xf numFmtId="10" fontId="0" fillId="0" borderId="0" xfId="1" applyNumberFormat="1" applyFont="1" applyFill="1"/>
    <xf numFmtId="0" fontId="2" fillId="3" borderId="6" xfId="0" applyFont="1" applyFill="1" applyBorder="1"/>
    <xf numFmtId="165" fontId="0" fillId="0" borderId="0" xfId="0" applyNumberFormat="1"/>
    <xf numFmtId="0" fontId="0" fillId="7" borderId="7" xfId="0" applyFill="1" applyBorder="1"/>
    <xf numFmtId="0" fontId="0" fillId="0" borderId="6" xfId="0" applyBorder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5" borderId="0" xfId="0" applyFont="1" applyFill="1"/>
  </cellXfs>
  <cellStyles count="2">
    <cellStyle name="Normal" xfId="0" builtinId="0"/>
    <cellStyle name="Percent" xfId="1" builtinId="5"/>
  </cellStyles>
  <dxfs count="49"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4" formatCode="0.00%"/>
      <fill>
        <patternFill patternType="solid">
          <fgColor indexed="64"/>
          <bgColor rgb="FFFFFF00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Avery Dennison</a:t>
            </a:r>
            <a:r>
              <a:rPr lang="en-IN" baseline="0"/>
              <a:t> Financial Performace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Statement'!$B$1</c:f>
              <c:strCache>
                <c:ptCount val="1"/>
                <c:pt idx="0">
                  <c:v>FY 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('Income Statement'!$B$4,'Income Statement'!$B$9,'Income Statement'!$B$46,'Income Statement'!$B$68,'Income Statement'!$B$70,'Income Statement'!$B$71)</c:f>
              <c:numCache>
                <c:formatCode>General</c:formatCode>
                <c:ptCount val="6"/>
                <c:pt idx="0">
                  <c:v>7159</c:v>
                </c:pt>
                <c:pt idx="1">
                  <c:v>1915.5</c:v>
                </c:pt>
                <c:pt idx="2">
                  <c:v>467.4</c:v>
                </c:pt>
                <c:pt idx="3">
                  <c:v>969</c:v>
                </c:pt>
                <c:pt idx="4">
                  <c:v>827.5</c:v>
                </c:pt>
                <c:pt idx="5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7-4C28-A605-994E95AC3FD1}"/>
            </c:ext>
          </c:extLst>
        </c:ser>
        <c:ser>
          <c:idx val="1"/>
          <c:order val="1"/>
          <c:tx>
            <c:strRef>
              <c:f>'Income Statement'!$C$1</c:f>
              <c:strCache>
                <c:ptCount val="1"/>
                <c:pt idx="0">
                  <c:v>FY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('Income Statement'!$C$4,'Income Statement'!$C$9,'Income Statement'!$C$46,'Income Statement'!$C$68,'Income Statement'!$C$70,'Income Statement'!$C$71)</c:f>
              <c:numCache>
                <c:formatCode>General</c:formatCode>
                <c:ptCount val="6"/>
                <c:pt idx="0">
                  <c:v>7070.1</c:v>
                </c:pt>
                <c:pt idx="1">
                  <c:v>1904.1</c:v>
                </c:pt>
                <c:pt idx="2">
                  <c:v>303.60000000000002</c:v>
                </c:pt>
                <c:pt idx="3">
                  <c:v>1068.0999999999999</c:v>
                </c:pt>
                <c:pt idx="4">
                  <c:v>927.8</c:v>
                </c:pt>
                <c:pt idx="5">
                  <c:v>823.7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7-4C28-A605-994E95AC3FD1}"/>
            </c:ext>
          </c:extLst>
        </c:ser>
        <c:ser>
          <c:idx val="2"/>
          <c:order val="2"/>
          <c:tx>
            <c:strRef>
              <c:f>'Income Statement'!$D$1</c:f>
              <c:strCache>
                <c:ptCount val="1"/>
                <c:pt idx="0">
                  <c:v>FY 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('Income Statement'!$D$4,'Income Statement'!$D$9,'Income Statement'!$D$46,'Income Statement'!$D$68,'Income Statement'!$D$70,'Income Statement'!$D$71)</c:f>
              <c:numCache>
                <c:formatCode>General</c:formatCode>
                <c:ptCount val="6"/>
                <c:pt idx="0">
                  <c:v>6971.5</c:v>
                </c:pt>
                <c:pt idx="1">
                  <c:v>1923.3</c:v>
                </c:pt>
                <c:pt idx="2">
                  <c:v>555.9</c:v>
                </c:pt>
                <c:pt idx="3">
                  <c:v>1137.0999999999999</c:v>
                </c:pt>
                <c:pt idx="4">
                  <c:v>982.9</c:v>
                </c:pt>
                <c:pt idx="5">
                  <c:v>868.7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7-4C28-A605-994E95AC3FD1}"/>
            </c:ext>
          </c:extLst>
        </c:ser>
        <c:ser>
          <c:idx val="3"/>
          <c:order val="3"/>
          <c:tx>
            <c:strRef>
              <c:f>'Income Statement'!$E$1</c:f>
              <c:strCache>
                <c:ptCount val="1"/>
                <c:pt idx="0">
                  <c:v>FY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('Income Statement'!$E$4,'Income Statement'!$E$9,'Income Statement'!$E$46,'Income Statement'!$E$68,'Income Statement'!$E$70,'Income Statement'!$E$71)</c:f>
              <c:numCache>
                <c:formatCode>General</c:formatCode>
                <c:ptCount val="6"/>
                <c:pt idx="0">
                  <c:v>8408.2999999999993</c:v>
                </c:pt>
                <c:pt idx="1">
                  <c:v>2312.8000000000002</c:v>
                </c:pt>
                <c:pt idx="2">
                  <c:v>740.1</c:v>
                </c:pt>
                <c:pt idx="3">
                  <c:v>1402.2</c:v>
                </c:pt>
                <c:pt idx="4">
                  <c:v>1234.9000000000001</c:v>
                </c:pt>
                <c:pt idx="5">
                  <c:v>1089.3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07-4C28-A605-994E95AC3FD1}"/>
            </c:ext>
          </c:extLst>
        </c:ser>
        <c:ser>
          <c:idx val="4"/>
          <c:order val="4"/>
          <c:tx>
            <c:strRef>
              <c:f>'Income Statement'!$F$1</c:f>
              <c:strCache>
                <c:ptCount val="1"/>
                <c:pt idx="0">
                  <c:v>FY 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('Income Statement'!$F$4,'Income Statement'!$F$9,'Income Statement'!$F$46,'Income Statement'!$F$68,'Income Statement'!$F$70,'Income Statement'!$F$71)</c:f>
              <c:numCache>
                <c:formatCode>General</c:formatCode>
                <c:ptCount val="6"/>
                <c:pt idx="0">
                  <c:v>9039.2999999999993</c:v>
                </c:pt>
                <c:pt idx="1">
                  <c:v>2404.1999999999998</c:v>
                </c:pt>
                <c:pt idx="2">
                  <c:v>757.1</c:v>
                </c:pt>
                <c:pt idx="3">
                  <c:v>1448.4</c:v>
                </c:pt>
                <c:pt idx="4">
                  <c:v>1271</c:v>
                </c:pt>
                <c:pt idx="5">
                  <c:v>1086.9000000000001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07-4C28-A605-994E95AC3FD1}"/>
            </c:ext>
          </c:extLst>
        </c:ser>
        <c:ser>
          <c:idx val="5"/>
          <c:order val="5"/>
          <c:tx>
            <c:strRef>
              <c:f>'Income Statement'!$G$1</c:f>
              <c:strCache>
                <c:ptCount val="1"/>
                <c:pt idx="0">
                  <c:v>FY 2023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('Income Statement'!$G$4,'Income Statement'!$G$9,'Income Statement'!$G$46,'Income Statement'!$G$68,'Income Statement'!$G$70,'Income Statement'!$G$71)</c:f>
              <c:numCache>
                <c:formatCode>General</c:formatCode>
                <c:ptCount val="6"/>
                <c:pt idx="0">
                  <c:v>8364.2999999999993</c:v>
                </c:pt>
                <c:pt idx="1">
                  <c:v>2277.5</c:v>
                </c:pt>
                <c:pt idx="2">
                  <c:v>503</c:v>
                </c:pt>
                <c:pt idx="3">
                  <c:v>1304.4000000000001</c:v>
                </c:pt>
                <c:pt idx="4">
                  <c:v>1117</c:v>
                </c:pt>
                <c:pt idx="5">
                  <c:v>932.4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07-4C28-A605-994E95AC3FD1}"/>
            </c:ext>
          </c:extLst>
        </c:ser>
        <c:ser>
          <c:idx val="6"/>
          <c:order val="6"/>
          <c:tx>
            <c:strRef>
              <c:f>'Income Statement'!$H$1</c:f>
              <c:strCache>
                <c:ptCount val="1"/>
                <c:pt idx="0">
                  <c:v>FY 2024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('Income Statement'!$H$4,'Income Statement'!$H$9,'Income Statement'!$H$46,'Income Statement'!$H$68,'Income Statement'!$H$70,'Income Statement'!$H$71)</c:f>
              <c:numCache>
                <c:formatCode>General</c:formatCode>
                <c:ptCount val="6"/>
                <c:pt idx="0">
                  <c:v>8755.7000000000007</c:v>
                </c:pt>
                <c:pt idx="1">
                  <c:v>2530.6999999999998</c:v>
                </c:pt>
                <c:pt idx="2">
                  <c:v>704.9</c:v>
                </c:pt>
                <c:pt idx="3">
                  <c:v>1490.2</c:v>
                </c:pt>
                <c:pt idx="4">
                  <c:v>1293.0999999999999</c:v>
                </c:pt>
                <c:pt idx="5">
                  <c:v>1102.9000000000001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07-4C28-A605-994E95AC3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867248"/>
        <c:axId val="2059850928"/>
      </c:barChart>
      <c:catAx>
        <c:axId val="205986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layout>
            <c:manualLayout>
              <c:xMode val="edge"/>
              <c:yMode val="edge"/>
              <c:x val="0.47449868766404207"/>
              <c:y val="0.77740667833187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50928"/>
        <c:crosses val="autoZero"/>
        <c:auto val="1"/>
        <c:lblAlgn val="ctr"/>
        <c:lblOffset val="100"/>
        <c:noMultiLvlLbl val="0"/>
      </c:catAx>
      <c:valAx>
        <c:axId val="20598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  <a:r>
                  <a:rPr lang="en-IN" baseline="0"/>
                  <a:t> (USD Millions)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6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'FCFF Forecast'!$A$10</c:f>
              <c:strCache>
                <c:ptCount val="1"/>
                <c:pt idx="0">
                  <c:v>FCFF (Free Cash Flow to Firm)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'FCFF Forecast'!$B$1:$F$1</c:f>
              <c:strCache>
                <c:ptCount val="5"/>
                <c:pt idx="0">
                  <c:v>2025E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</c:strCache>
            </c:strRef>
          </c:cat>
          <c:val>
            <c:numRef>
              <c:f>'FCFF Forecast'!$B$10:$F$10</c:f>
              <c:numCache>
                <c:formatCode>General</c:formatCode>
                <c:ptCount val="5"/>
                <c:pt idx="0">
                  <c:v>694.98779635510869</c:v>
                </c:pt>
                <c:pt idx="1">
                  <c:v>740.23957520179295</c:v>
                </c:pt>
                <c:pt idx="2">
                  <c:v>792.12932612468137</c:v>
                </c:pt>
                <c:pt idx="3">
                  <c:v>851.8473049243446</c:v>
                </c:pt>
                <c:pt idx="4">
                  <c:v>920.82641428110867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C-40B6-A177-7E03A2F0A0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7108479"/>
        <c:axId val="687103679"/>
      </c:lineChart>
      <c:catAx>
        <c:axId val="6871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03679"/>
        <c:crosses val="autoZero"/>
        <c:auto val="1"/>
        <c:lblAlgn val="ctr"/>
        <c:lblOffset val="100"/>
        <c:noMultiLvlLbl val="0"/>
      </c:catAx>
      <c:valAx>
        <c:axId val="68710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1</xdr:row>
      <xdr:rowOff>34290</xdr:rowOff>
    </xdr:from>
    <xdr:to>
      <xdr:col>27</xdr:col>
      <xdr:colOff>22860</xdr:colOff>
      <xdr:row>17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5F046-6304-D58F-599F-02D87FE9A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0</xdr:row>
      <xdr:rowOff>163830</xdr:rowOff>
    </xdr:from>
    <xdr:to>
      <xdr:col>15</xdr:col>
      <xdr:colOff>198120</xdr:colOff>
      <xdr:row>15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E98E2-0ED4-E9A5-99FE-9B238A34E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E572A-31D6-457B-AC0D-F1BDF82806EF}" name="Table1" displayName="Table1" ref="A1:H82" headerRowCount="0" totalsRowShown="0" headerRowDxfId="48">
  <tableColumns count="8">
    <tableColumn id="1" xr3:uid="{73ED4F63-020F-4FB5-9828-F4FDF2D4C61D}" name="Column1" headerRowDxfId="47"/>
    <tableColumn id="3" xr3:uid="{B4945A93-4314-4461-BF67-E7DEEE2E0349}" name="Column3" headerRowDxfId="46"/>
    <tableColumn id="4" xr3:uid="{0AFFD3D9-65FC-43BE-8F0D-54C76C0618F5}" name="Column4" headerRowDxfId="45"/>
    <tableColumn id="5" xr3:uid="{AB7FDA5A-04EC-425E-B12A-3E97E63F3743}" name="Column5" headerRowDxfId="44"/>
    <tableColumn id="6" xr3:uid="{CEBCC403-423A-4ECE-A0AD-B5D26BBC45F4}" name="Column6" headerRowDxfId="43"/>
    <tableColumn id="7" xr3:uid="{B763F547-C90A-4AB7-AFF5-CD2E40FA65E8}" name="Column7" headerRowDxfId="42"/>
    <tableColumn id="8" xr3:uid="{483230C0-324E-4F76-8DF7-FD749E7F7050}" name="Column8" headerRowDxfId="41"/>
    <tableColumn id="9" xr3:uid="{E12295A6-44DD-46E8-AB4C-5195DA97E3F6}" name="Column9" headerRowDxfId="4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314F00-40F6-4254-9EA9-10782AA2CE91}" name="Table8" displayName="Table8" ref="J8:R13" headerRowCount="0" totalsRowShown="0">
  <tableColumns count="9">
    <tableColumn id="1" xr3:uid="{3C083A8F-BD31-4C7E-BE3E-4140DB5CE488}" name="Column1"/>
    <tableColumn id="2" xr3:uid="{4D682A06-A368-45C5-9F13-3AE0A7657CA8}" name="Column2"/>
    <tableColumn id="3" xr3:uid="{C1BEDAFF-3F94-45A6-9E3E-676027F03FB0}" name="Column3" dataDxfId="39"/>
    <tableColumn id="4" xr3:uid="{55DF4CA8-2B2C-43BB-B445-62ABFC7170EF}" name="Column4" dataDxfId="38"/>
    <tableColumn id="5" xr3:uid="{CF718EC3-50D8-4D53-ADA3-ED404BA2E4C7}" name="Column5" dataDxfId="37"/>
    <tableColumn id="6" xr3:uid="{74E6BCF6-E6E4-4554-92BD-0EE882550B0A}" name="Column6" dataDxfId="36"/>
    <tableColumn id="7" xr3:uid="{7AA35C56-91D8-4BC3-981D-E3A683C4C666}" name="Column7" dataDxfId="35"/>
    <tableColumn id="8" xr3:uid="{82D81220-FA09-4216-A985-72E0AC5BE9FB}" name="Column8" dataDxfId="34"/>
    <tableColumn id="9" xr3:uid="{14046557-0C17-4591-A74A-77E37A7454F0}" name="Column9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319D69-50DC-442B-A8A2-74C4BC4C44F2}" name="Table3" displayName="Table3" ref="A1:L96" headerRowCount="0" totalsRowShown="0" headerRowDxfId="32">
  <tableColumns count="12">
    <tableColumn id="1" xr3:uid="{2A1A2B1B-CCAE-44C6-B81C-5C4A8BF25622}" name="Column1" headerRowDxfId="31"/>
    <tableColumn id="2" xr3:uid="{B71F1465-6EF7-425D-A001-B16E96E5FB01}" name="Column2" headerRowDxfId="30"/>
    <tableColumn id="3" xr3:uid="{D06239ED-BA60-4F6F-80A7-04DEEB0E1AD0}" name="Column3" headerRowDxfId="29"/>
    <tableColumn id="4" xr3:uid="{A09D2152-6522-4700-8D96-2B39CAAC09F1}" name="Column4" headerRowDxfId="28"/>
    <tableColumn id="5" xr3:uid="{D42A58BF-E798-4979-AB30-7DFB6947A423}" name="Column5" headerRowDxfId="27"/>
    <tableColumn id="6" xr3:uid="{851236B1-4ECC-4146-AC1D-055C3A38EECD}" name="Column6" headerRowDxfId="26"/>
    <tableColumn id="7" xr3:uid="{69C22199-3506-47B9-9BBD-67C519A22A6C}" name="Column7" headerRowDxfId="25"/>
    <tableColumn id="8" xr3:uid="{51FFD6A8-BE47-4821-B8B6-BD0AEACE726F}" name="Column8" headerRowDxfId="24"/>
    <tableColumn id="9" xr3:uid="{EAEDB254-4AF9-40ED-B6D2-9A1B4C8DB0EA}" name="Column9" headerRowDxfId="23"/>
    <tableColumn id="10" xr3:uid="{DBCCBCB9-6550-4385-BD8F-FA774E8EBF87}" name="Column10" headerRowDxfId="22"/>
    <tableColumn id="11" xr3:uid="{E8D4A4F1-A95B-4A15-AE07-19BB6A66D52B}" name="Column11" headerRowDxfId="21"/>
    <tableColumn id="12" xr3:uid="{CB89E1FB-6A4C-4DBF-A32C-222AA5F0F71F}" name="Column12" headerRowDxfId="2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3195C3-4AD6-4EDB-85A0-C4B36FA620AC}" name="Table98" displayName="Table98" ref="N6:U8" headerRowCount="0" totalsRowShown="0">
  <tableColumns count="8">
    <tableColumn id="1" xr3:uid="{E45E0722-1891-4BB5-81A2-0D59DD14C59A}" name="Column1"/>
    <tableColumn id="2" xr3:uid="{95013B48-3F70-4BA9-902A-A5F8B0592A97}" name="Column2"/>
    <tableColumn id="3" xr3:uid="{939C2496-9B27-4EE0-819E-C2C1AFC352ED}" name="Column3"/>
    <tableColumn id="4" xr3:uid="{20992C04-75CA-4F64-B238-EC25A8572779}" name="Column4"/>
    <tableColumn id="5" xr3:uid="{422ED3E4-5DAE-4068-9717-C8FF9F4F3967}" name="Column5"/>
    <tableColumn id="6" xr3:uid="{156D77F9-EE94-4DC9-866F-798720E09C24}" name="Column6"/>
    <tableColumn id="7" xr3:uid="{E7D61956-B2F3-4995-BC7C-C47321857C8E}" name="Column7"/>
    <tableColumn id="8" xr3:uid="{1C346874-3FE0-4AF5-9ADE-969593C8F2A6}" name="Column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9A472-2B0F-4D8F-9D27-782436C199E6}" name="Table2" displayName="Table2" ref="A1:H67" headerRowCount="0" totalsRowShown="0" headerRowDxfId="19">
  <tableColumns count="8">
    <tableColumn id="1" xr3:uid="{225E079C-C947-4C39-85C1-96DFEEC2791E}" name="Column1" headerRowDxfId="18"/>
    <tableColumn id="5" xr3:uid="{89C753B0-57B0-4206-9600-4B33CA8F0599}" name="Column5" headerRowDxfId="17"/>
    <tableColumn id="6" xr3:uid="{867B55EF-5010-4EEE-A57D-5418DCA42E95}" name="Column6" headerRowDxfId="16"/>
    <tableColumn id="7" xr3:uid="{502A7C36-4650-4B24-A278-BF766C299BFB}" name="Column7" headerRowDxfId="15"/>
    <tableColumn id="8" xr3:uid="{62D9D2FD-BA53-47DF-82A7-39A456411D6B}" name="Column8" headerRowDxfId="14"/>
    <tableColumn id="9" xr3:uid="{1C4D7A35-7D9A-41E5-B7E1-22855E243EDF}" name="Column9" headerRowDxfId="13"/>
    <tableColumn id="10" xr3:uid="{3D2B6E9E-5B04-4A86-BC87-A539A84624D1}" name="Column10" headerRowDxfId="12"/>
    <tableColumn id="11" xr3:uid="{082E6AE7-3E1D-4362-A768-3EA10FC98C48}" name="Column11" headerRowDxfId="11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C2C85AC-E19D-4ADA-A439-6A3E06FE85F7}" name="Table14" displayName="Table14" ref="J24:R26" headerRowCount="0" totalsRowShown="0" headerRowDxfId="10">
  <tableColumns count="9">
    <tableColumn id="1" xr3:uid="{881830BE-C5EE-4B9E-8740-1DDD7948E9F8}" name="Column1" headerRowDxfId="9"/>
    <tableColumn id="2" xr3:uid="{32243FEF-C3CD-4A1A-A577-4EDEC3F4906A}" name="Column2" headerRowDxfId="8"/>
    <tableColumn id="3" xr3:uid="{C9F0AA42-ED5D-47E8-9C96-501FB4D8C276}" name="Column3" headerRowDxfId="7"/>
    <tableColumn id="4" xr3:uid="{3940647B-49BC-4D23-9CCD-814167DD80F8}" name="Column4" headerRowDxfId="6"/>
    <tableColumn id="5" xr3:uid="{9B72E066-C391-4BE8-8EC7-585DF772AA4C}" name="Column5" headerRowDxfId="5"/>
    <tableColumn id="6" xr3:uid="{D300F05D-1447-42CE-8765-A90B4E877A7C}" name="Column6" headerRowDxfId="4"/>
    <tableColumn id="7" xr3:uid="{087BAFC5-7F34-485F-B2E1-9B429F2E58CF}" name="Column7" headerRowDxfId="3"/>
    <tableColumn id="8" xr3:uid="{1F7EF3F9-7C75-49F8-998B-96A11547198E}" name="Column8" headerRowDxfId="2"/>
    <tableColumn id="9" xr3:uid="{3AFBE095-2C84-450F-8FDC-667D06C55876}" name="Column9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995F-C063-4D34-83D6-AAB9CC515E1F}">
  <dimension ref="A1:R82"/>
  <sheetViews>
    <sheetView tabSelected="1" topLeftCell="E5" zoomScaleNormal="100" workbookViewId="0">
      <selection activeCell="K20" sqref="K20"/>
    </sheetView>
  </sheetViews>
  <sheetFormatPr defaultRowHeight="14.4" x14ac:dyDescent="0.3"/>
  <cols>
    <col min="1" max="1" width="38.88671875" bestFit="1" customWidth="1"/>
    <col min="2" max="2" width="10.5546875" bestFit="1" customWidth="1"/>
    <col min="3" max="4" width="11" bestFit="1" customWidth="1"/>
    <col min="5" max="6" width="12" bestFit="1" customWidth="1"/>
    <col min="7" max="7" width="10.5546875" bestFit="1" customWidth="1"/>
    <col min="8" max="8" width="12" bestFit="1" customWidth="1"/>
    <col min="9" max="9" width="1.77734375" customWidth="1"/>
    <col min="10" max="10" width="23.77734375" bestFit="1" customWidth="1"/>
    <col min="11" max="11" width="12" bestFit="1" customWidth="1"/>
    <col min="12" max="17" width="10.33203125" customWidth="1"/>
  </cols>
  <sheetData>
    <row r="1" spans="1:18" x14ac:dyDescent="0.3">
      <c r="A1" s="2" t="s">
        <v>88</v>
      </c>
      <c r="B1" s="2" t="s">
        <v>86</v>
      </c>
      <c r="C1" s="2" t="s">
        <v>85</v>
      </c>
      <c r="D1" s="2" t="s">
        <v>84</v>
      </c>
      <c r="E1" s="2" t="s">
        <v>83</v>
      </c>
      <c r="F1" s="2" t="s">
        <v>82</v>
      </c>
      <c r="G1" s="2" t="s">
        <v>81</v>
      </c>
      <c r="H1" s="2" t="s">
        <v>80</v>
      </c>
    </row>
    <row r="2" spans="1:18" s="1" customFormat="1" x14ac:dyDescent="0.3">
      <c r="A2" s="11" t="s">
        <v>87</v>
      </c>
      <c r="B2"/>
      <c r="C2"/>
      <c r="D2"/>
      <c r="E2"/>
      <c r="F2"/>
      <c r="G2"/>
      <c r="H2"/>
    </row>
    <row r="3" spans="1:18" x14ac:dyDescent="0.3">
      <c r="A3" s="1" t="s">
        <v>79</v>
      </c>
      <c r="B3" s="1" t="s">
        <v>78</v>
      </c>
      <c r="C3" s="1" t="s">
        <v>77</v>
      </c>
      <c r="D3" s="1" t="s">
        <v>76</v>
      </c>
      <c r="E3" s="1" t="s">
        <v>75</v>
      </c>
      <c r="F3" s="1" t="s">
        <v>74</v>
      </c>
      <c r="G3" s="1" t="s">
        <v>73</v>
      </c>
      <c r="H3" s="1" t="s">
        <v>72</v>
      </c>
    </row>
    <row r="4" spans="1:18" x14ac:dyDescent="0.3">
      <c r="A4" t="s">
        <v>71</v>
      </c>
      <c r="B4">
        <v>7159</v>
      </c>
      <c r="C4">
        <v>7070.1</v>
      </c>
      <c r="D4">
        <v>6971.5</v>
      </c>
      <c r="E4">
        <v>8408.2999999999993</v>
      </c>
      <c r="F4">
        <v>9039.2999999999993</v>
      </c>
      <c r="G4">
        <v>8364.2999999999993</v>
      </c>
      <c r="H4">
        <v>8755.7000000000007</v>
      </c>
    </row>
    <row r="5" spans="1:18" x14ac:dyDescent="0.3">
      <c r="A5" s="4" t="s">
        <v>314</v>
      </c>
      <c r="B5" s="4"/>
      <c r="C5" s="5">
        <f>C4/B4-1</f>
        <v>-1.241793546584713E-2</v>
      </c>
      <c r="D5" s="5">
        <f t="shared" ref="D5:H5" si="0">D4/C4-1</f>
        <v>-1.3946054511251638E-2</v>
      </c>
      <c r="E5" s="5">
        <f t="shared" si="0"/>
        <v>0.20609624901384205</v>
      </c>
      <c r="F5" s="5">
        <f t="shared" si="0"/>
        <v>7.5044896114553561E-2</v>
      </c>
      <c r="G5" s="5">
        <f t="shared" si="0"/>
        <v>-7.4673923865786085E-2</v>
      </c>
      <c r="H5" s="5">
        <f t="shared" si="0"/>
        <v>4.6794113075810495E-2</v>
      </c>
    </row>
    <row r="6" spans="1:18" x14ac:dyDescent="0.3">
      <c r="A6" t="s">
        <v>70</v>
      </c>
      <c r="B6">
        <v>7159</v>
      </c>
      <c r="C6">
        <v>7070.1</v>
      </c>
      <c r="D6">
        <v>6971.5</v>
      </c>
      <c r="E6">
        <v>8408.2999999999993</v>
      </c>
      <c r="F6">
        <v>9039.2999999999993</v>
      </c>
      <c r="G6">
        <v>8364.2999999999993</v>
      </c>
      <c r="H6">
        <v>8755.7000000000007</v>
      </c>
    </row>
    <row r="7" spans="1:18" x14ac:dyDescent="0.3">
      <c r="A7" t="s">
        <v>69</v>
      </c>
      <c r="B7">
        <v>5243.5</v>
      </c>
      <c r="C7">
        <v>5166</v>
      </c>
      <c r="D7">
        <v>5048.2</v>
      </c>
      <c r="E7">
        <v>6095.5</v>
      </c>
      <c r="F7">
        <v>6635.1</v>
      </c>
      <c r="G7">
        <v>6086.8</v>
      </c>
      <c r="H7">
        <v>6225</v>
      </c>
    </row>
    <row r="8" spans="1:18" x14ac:dyDescent="0.3">
      <c r="A8" t="s">
        <v>68</v>
      </c>
      <c r="B8">
        <v>5243.5</v>
      </c>
      <c r="C8">
        <v>5166</v>
      </c>
      <c r="D8">
        <v>5048.2</v>
      </c>
      <c r="E8">
        <v>6095.5</v>
      </c>
      <c r="F8">
        <v>6635.1</v>
      </c>
      <c r="G8">
        <v>6086.8</v>
      </c>
      <c r="H8">
        <v>6225</v>
      </c>
      <c r="J8" s="8" t="s">
        <v>320</v>
      </c>
      <c r="K8" s="52" t="str">
        <f t="shared" ref="K8:Q8" si="1">B1</f>
        <v>FY 2018</v>
      </c>
      <c r="L8" s="52" t="str">
        <f t="shared" si="1"/>
        <v>FY 2019</v>
      </c>
      <c r="M8" s="52" t="str">
        <f t="shared" si="1"/>
        <v>FY 2020</v>
      </c>
      <c r="N8" s="52" t="str">
        <f t="shared" si="1"/>
        <v>FY 2021</v>
      </c>
      <c r="O8" s="52" t="str">
        <f t="shared" si="1"/>
        <v>FY 2022</v>
      </c>
      <c r="P8" s="52" t="str">
        <f t="shared" si="1"/>
        <v>FY 2023</v>
      </c>
      <c r="Q8" s="52" t="str">
        <f t="shared" si="1"/>
        <v>FY 2024</v>
      </c>
      <c r="R8" s="21" t="s">
        <v>362</v>
      </c>
    </row>
    <row r="9" spans="1:18" x14ac:dyDescent="0.3">
      <c r="A9" t="s">
        <v>67</v>
      </c>
      <c r="B9">
        <v>1915.5</v>
      </c>
      <c r="C9">
        <v>1904.1</v>
      </c>
      <c r="D9">
        <v>1923.3</v>
      </c>
      <c r="E9">
        <v>2312.8000000000002</v>
      </c>
      <c r="F9">
        <v>2404.1999999999998</v>
      </c>
      <c r="G9">
        <v>2277.5</v>
      </c>
      <c r="H9">
        <v>2530.6999999999998</v>
      </c>
      <c r="J9" t="str">
        <f>A5</f>
        <v>Revenue Growth (%)</v>
      </c>
      <c r="L9" s="7">
        <f t="shared" ref="L9:Q9" si="2">C5</f>
        <v>-1.241793546584713E-2</v>
      </c>
      <c r="M9" s="7">
        <f t="shared" si="2"/>
        <v>-1.3946054511251638E-2</v>
      </c>
      <c r="N9" s="7">
        <f t="shared" si="2"/>
        <v>0.20609624901384205</v>
      </c>
      <c r="O9" s="7">
        <f t="shared" si="2"/>
        <v>7.5044896114553561E-2</v>
      </c>
      <c r="P9" s="7">
        <f t="shared" si="2"/>
        <v>-7.4673923865786085E-2</v>
      </c>
      <c r="Q9" s="7">
        <f t="shared" si="2"/>
        <v>4.6794113075810495E-2</v>
      </c>
      <c r="R9" s="21">
        <f>AVERAGE(Table8[[#This Row],[Column3]:[Column8]])</f>
        <v>3.7816224060220206E-2</v>
      </c>
    </row>
    <row r="10" spans="1:18" x14ac:dyDescent="0.3">
      <c r="A10" s="4" t="s">
        <v>315</v>
      </c>
      <c r="B10" s="5">
        <f>B9/B4</f>
        <v>0.26756530241653864</v>
      </c>
      <c r="C10" s="5">
        <f t="shared" ref="C10:H10" si="3">C9/C4</f>
        <v>0.26931726566809522</v>
      </c>
      <c r="D10" s="5">
        <f t="shared" si="3"/>
        <v>0.2758803700781754</v>
      </c>
      <c r="E10" s="5">
        <f t="shared" si="3"/>
        <v>0.27506154632922236</v>
      </c>
      <c r="F10" s="5">
        <f t="shared" si="3"/>
        <v>0.26597192260462649</v>
      </c>
      <c r="G10" s="5">
        <f t="shared" si="3"/>
        <v>0.2722881771337709</v>
      </c>
      <c r="H10" s="5">
        <f t="shared" si="3"/>
        <v>0.28903457176467895</v>
      </c>
      <c r="J10" t="str">
        <f t="shared" ref="J10:Q10" si="4">A47</f>
        <v>Net Profit Margin (%)</v>
      </c>
      <c r="K10" s="7">
        <f t="shared" si="4"/>
        <v>6.5288448107277547E-2</v>
      </c>
      <c r="L10" s="7">
        <f t="shared" si="4"/>
        <v>4.2941401111724023E-2</v>
      </c>
      <c r="M10" s="7">
        <f t="shared" si="4"/>
        <v>7.9738937101054286E-2</v>
      </c>
      <c r="N10" s="7">
        <f t="shared" si="4"/>
        <v>8.8020170545770257E-2</v>
      </c>
      <c r="O10" s="7">
        <f t="shared" si="4"/>
        <v>8.3756485568572792E-2</v>
      </c>
      <c r="P10" s="7">
        <f t="shared" si="4"/>
        <v>6.0136532644692327E-2</v>
      </c>
      <c r="Q10" s="7">
        <f t="shared" si="4"/>
        <v>8.0507555078406054E-2</v>
      </c>
      <c r="R10" s="21">
        <f>AVERAGE(Table8[[#This Row],[Column2]:[Column8]])</f>
        <v>7.1484218593928187E-2</v>
      </c>
    </row>
    <row r="11" spans="1:18" x14ac:dyDescent="0.3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 t="str">
        <f t="shared" ref="J11:Q11" si="5">A69</f>
        <v>EBITDA Margin (%)</v>
      </c>
      <c r="K11" s="7">
        <f t="shared" si="5"/>
        <v>0.135354</v>
      </c>
      <c r="L11" s="7">
        <f t="shared" si="5"/>
        <v>0.15107300000000001</v>
      </c>
      <c r="M11" s="7">
        <f t="shared" si="5"/>
        <v>0.163107</v>
      </c>
      <c r="N11" s="7">
        <f t="shared" si="5"/>
        <v>0.166764</v>
      </c>
      <c r="O11" s="7">
        <f t="shared" si="5"/>
        <v>0.16023399999999999</v>
      </c>
      <c r="P11" s="7">
        <f t="shared" si="5"/>
        <v>0.155948</v>
      </c>
      <c r="Q11" s="7">
        <f t="shared" si="5"/>
        <v>0.17019799999999999</v>
      </c>
      <c r="R11" s="21">
        <f>AVERAGE(Table8[[#This Row],[Column2]:[Column8]])</f>
        <v>0.15752542857142857</v>
      </c>
    </row>
    <row r="12" spans="1:18" x14ac:dyDescent="0.3">
      <c r="A12" t="s">
        <v>65</v>
      </c>
      <c r="B12">
        <v>1127.5</v>
      </c>
      <c r="C12">
        <v>1080.4000000000001</v>
      </c>
      <c r="D12">
        <v>1054.5999999999999</v>
      </c>
      <c r="E12">
        <v>1223.5</v>
      </c>
      <c r="F12">
        <v>1317.3</v>
      </c>
      <c r="G12">
        <v>1345.1</v>
      </c>
      <c r="H12">
        <v>1427.8</v>
      </c>
      <c r="J12" t="s">
        <v>336</v>
      </c>
      <c r="K12" s="7">
        <f t="shared" ref="K12:Q12" si="6">B72</f>
        <v>0.11007123899986032</v>
      </c>
      <c r="L12" s="7">
        <f t="shared" si="6"/>
        <v>0.1165047170478494</v>
      </c>
      <c r="M12" s="7">
        <f t="shared" si="6"/>
        <v>0.12460732984293195</v>
      </c>
      <c r="N12" s="7">
        <f t="shared" si="6"/>
        <v>0.12955056313404612</v>
      </c>
      <c r="O12" s="7">
        <f t="shared" si="6"/>
        <v>0.12024161162921909</v>
      </c>
      <c r="P12" s="7">
        <f t="shared" si="6"/>
        <v>0.11147376349485313</v>
      </c>
      <c r="Q12" s="7">
        <f t="shared" si="6"/>
        <v>0.12596365795995751</v>
      </c>
      <c r="R12" s="21">
        <f>AVERAGE(Table8[[#This Row],[Column2]:[Column8]])</f>
        <v>0.11977326887267394</v>
      </c>
    </row>
    <row r="13" spans="1:18" x14ac:dyDescent="0.3">
      <c r="A13" t="s">
        <v>64</v>
      </c>
      <c r="B13">
        <v>1029.3</v>
      </c>
      <c r="C13">
        <v>987.8</v>
      </c>
      <c r="D13">
        <v>947.7</v>
      </c>
      <c r="E13">
        <v>1111.9000000000001</v>
      </c>
      <c r="F13">
        <v>1194.7</v>
      </c>
      <c r="G13">
        <v>1177.9000000000001</v>
      </c>
      <c r="H13">
        <v>1277.5</v>
      </c>
      <c r="J13" t="s">
        <v>337</v>
      </c>
      <c r="K13" s="7">
        <f>B81</f>
        <v>1.9765330353401313E-2</v>
      </c>
      <c r="L13" s="7">
        <f t="shared" ref="L13:Q13" si="7">C81</f>
        <v>1.9844132331933072E-2</v>
      </c>
      <c r="M13" s="7">
        <f t="shared" si="7"/>
        <v>2.2118625833751702E-2</v>
      </c>
      <c r="N13" s="7">
        <f t="shared" si="7"/>
        <v>1.9897006529262757E-2</v>
      </c>
      <c r="O13" s="7">
        <f t="shared" si="7"/>
        <v>1.9625413472282149E-2</v>
      </c>
      <c r="P13" s="7">
        <f t="shared" si="7"/>
        <v>2.2404743971402272E-2</v>
      </c>
      <c r="Q13" s="7">
        <f t="shared" si="7"/>
        <v>2.2511049944607512E-2</v>
      </c>
      <c r="R13" s="21">
        <f>AVERAGE(Table8[[#This Row],[Column6]:[Column8]])</f>
        <v>2.1513735796097309E-2</v>
      </c>
    </row>
    <row r="14" spans="1:18" x14ac:dyDescent="0.3">
      <c r="A14" t="s">
        <v>63</v>
      </c>
      <c r="B14">
        <v>98.2</v>
      </c>
      <c r="C14">
        <v>92.6</v>
      </c>
      <c r="D14">
        <v>112.8</v>
      </c>
      <c r="E14">
        <v>136.6</v>
      </c>
      <c r="F14">
        <v>136.1</v>
      </c>
      <c r="G14">
        <v>135.80000000000001</v>
      </c>
      <c r="H14">
        <v>137.80000000000001</v>
      </c>
    </row>
    <row r="15" spans="1:18" x14ac:dyDescent="0.3">
      <c r="A15" t="s">
        <v>62</v>
      </c>
      <c r="B15">
        <v>0</v>
      </c>
      <c r="C15">
        <v>0</v>
      </c>
      <c r="D15">
        <v>-5.9</v>
      </c>
      <c r="E15">
        <v>-25</v>
      </c>
      <c r="F15">
        <v>-13.5</v>
      </c>
      <c r="G15">
        <v>31.4</v>
      </c>
      <c r="H15">
        <v>12.5</v>
      </c>
    </row>
    <row r="16" spans="1:18" x14ac:dyDescent="0.3">
      <c r="A16" t="s">
        <v>61</v>
      </c>
      <c r="B16">
        <v>788</v>
      </c>
      <c r="C16">
        <v>823.7</v>
      </c>
      <c r="D16">
        <v>868.7</v>
      </c>
      <c r="E16">
        <v>1089.3</v>
      </c>
      <c r="F16">
        <v>1086.9000000000001</v>
      </c>
      <c r="G16">
        <v>932.4</v>
      </c>
      <c r="H16">
        <v>1102.9000000000001</v>
      </c>
    </row>
    <row r="17" spans="1:8" x14ac:dyDescent="0.3">
      <c r="A17" t="s">
        <v>60</v>
      </c>
      <c r="B17">
        <v>69.599999999999994</v>
      </c>
      <c r="C17">
        <v>76.900000000000006</v>
      </c>
      <c r="D17">
        <v>77.3</v>
      </c>
      <c r="E17">
        <v>89.1</v>
      </c>
      <c r="F17">
        <v>88.2</v>
      </c>
      <c r="G17">
        <v>88.2</v>
      </c>
      <c r="H17">
        <v>71.099999999999994</v>
      </c>
    </row>
    <row r="18" spans="1:8" x14ac:dyDescent="0.3">
      <c r="A18" t="s">
        <v>59</v>
      </c>
      <c r="B18">
        <v>58.5</v>
      </c>
      <c r="C18">
        <v>75.8</v>
      </c>
      <c r="D18">
        <v>70</v>
      </c>
      <c r="E18">
        <v>70.2</v>
      </c>
      <c r="F18">
        <v>84.1</v>
      </c>
      <c r="G18">
        <v>119</v>
      </c>
      <c r="H18">
        <v>117</v>
      </c>
    </row>
    <row r="19" spans="1:8" x14ac:dyDescent="0.3">
      <c r="A19" t="s">
        <v>58</v>
      </c>
      <c r="B19">
        <v>58.5</v>
      </c>
      <c r="C19">
        <v>75.8</v>
      </c>
      <c r="D19">
        <v>70</v>
      </c>
      <c r="E19">
        <v>70.2</v>
      </c>
      <c r="F19">
        <v>84.1</v>
      </c>
      <c r="G19">
        <v>119</v>
      </c>
      <c r="H19">
        <v>117</v>
      </c>
    </row>
    <row r="20" spans="1:8" x14ac:dyDescent="0.3">
      <c r="A20" t="s">
        <v>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56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55</v>
      </c>
      <c r="B22">
        <v>11.1</v>
      </c>
      <c r="C22">
        <v>1.1000000000000001</v>
      </c>
      <c r="D22">
        <v>7.3</v>
      </c>
      <c r="E22">
        <v>18.899999999999999</v>
      </c>
      <c r="F22">
        <v>4.0999999999999996</v>
      </c>
      <c r="G22">
        <v>-30.8</v>
      </c>
      <c r="H22">
        <v>-45.9</v>
      </c>
    </row>
    <row r="23" spans="1:8" x14ac:dyDescent="0.3">
      <c r="A23" t="s">
        <v>54</v>
      </c>
      <c r="B23">
        <v>718.4</v>
      </c>
      <c r="C23">
        <v>746.8</v>
      </c>
      <c r="D23">
        <v>791.4</v>
      </c>
      <c r="E23">
        <v>1000.2</v>
      </c>
      <c r="F23">
        <v>998.7</v>
      </c>
      <c r="G23">
        <v>844.2</v>
      </c>
      <c r="H23">
        <v>1031.8</v>
      </c>
    </row>
    <row r="24" spans="1:8" x14ac:dyDescent="0.3">
      <c r="A24" t="s">
        <v>53</v>
      </c>
      <c r="B24">
        <v>163.6</v>
      </c>
      <c r="C24">
        <v>497.3</v>
      </c>
      <c r="D24">
        <v>54.1</v>
      </c>
      <c r="E24">
        <v>7.6</v>
      </c>
      <c r="F24">
        <v>-0.6</v>
      </c>
      <c r="G24">
        <v>149.5</v>
      </c>
      <c r="H24">
        <v>78.3</v>
      </c>
    </row>
    <row r="25" spans="1:8" x14ac:dyDescent="0.3">
      <c r="A25" t="s">
        <v>52</v>
      </c>
      <c r="B25">
        <v>-1.6</v>
      </c>
      <c r="C25">
        <v>2.6</v>
      </c>
      <c r="D25">
        <v>4.2</v>
      </c>
      <c r="E25">
        <v>20.9</v>
      </c>
      <c r="F25">
        <v>0.3</v>
      </c>
      <c r="G25">
        <v>5.3</v>
      </c>
      <c r="H25">
        <v>0.3</v>
      </c>
    </row>
    <row r="26" spans="1:8" x14ac:dyDescent="0.3">
      <c r="A26" t="s">
        <v>51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>
        <v>16.399999999999999</v>
      </c>
    </row>
    <row r="27" spans="1:8" x14ac:dyDescent="0.3">
      <c r="A27" t="s">
        <v>50</v>
      </c>
      <c r="B27">
        <v>-2.7</v>
      </c>
      <c r="C27">
        <v>-3.2</v>
      </c>
      <c r="D27">
        <v>-0.5</v>
      </c>
      <c r="E27">
        <v>0.2</v>
      </c>
      <c r="F27">
        <v>-1.4</v>
      </c>
      <c r="G27">
        <v>0.5</v>
      </c>
      <c r="H27" t="s">
        <v>2</v>
      </c>
    </row>
    <row r="28" spans="1:8" x14ac:dyDescent="0.3">
      <c r="A28" t="s">
        <v>49</v>
      </c>
      <c r="B28">
        <v>10.7</v>
      </c>
      <c r="C28" t="s">
        <v>2</v>
      </c>
      <c r="D28" t="s">
        <v>2</v>
      </c>
      <c r="E28" t="s">
        <v>2</v>
      </c>
      <c r="F28" t="s">
        <v>2</v>
      </c>
      <c r="G28">
        <v>8.6</v>
      </c>
      <c r="H28">
        <v>6.5</v>
      </c>
    </row>
    <row r="29" spans="1:8" x14ac:dyDescent="0.3">
      <c r="A29" t="s">
        <v>48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3">
      <c r="A30" t="s">
        <v>47</v>
      </c>
      <c r="B30" t="s">
        <v>2</v>
      </c>
      <c r="C30" t="s">
        <v>2</v>
      </c>
      <c r="D30" t="s">
        <v>2</v>
      </c>
      <c r="E30">
        <v>-5.7</v>
      </c>
      <c r="F30" t="s">
        <v>2</v>
      </c>
      <c r="G30" t="s">
        <v>2</v>
      </c>
      <c r="H30" t="s">
        <v>2</v>
      </c>
    </row>
    <row r="31" spans="1:8" x14ac:dyDescent="0.3">
      <c r="A31" t="s">
        <v>46</v>
      </c>
      <c r="B31" t="s">
        <v>2</v>
      </c>
      <c r="C31">
        <v>3.4</v>
      </c>
      <c r="D31" t="s">
        <v>2</v>
      </c>
      <c r="E31" t="s">
        <v>2</v>
      </c>
      <c r="F31">
        <v>6.3</v>
      </c>
      <c r="G31">
        <v>64.3</v>
      </c>
      <c r="H31">
        <v>0.5</v>
      </c>
    </row>
    <row r="32" spans="1:8" x14ac:dyDescent="0.3">
      <c r="A32" t="s">
        <v>45</v>
      </c>
      <c r="B32">
        <v>63.5</v>
      </c>
      <c r="C32">
        <v>45.3</v>
      </c>
      <c r="D32">
        <v>49.1</v>
      </c>
      <c r="E32">
        <v>10.5</v>
      </c>
      <c r="F32">
        <v>7.6</v>
      </c>
      <c r="G32">
        <v>70.8</v>
      </c>
      <c r="H32">
        <v>35.4</v>
      </c>
    </row>
    <row r="33" spans="1:8" x14ac:dyDescent="0.3">
      <c r="A33" t="s">
        <v>44</v>
      </c>
      <c r="B33" t="s">
        <v>2</v>
      </c>
      <c r="C33" t="s">
        <v>2</v>
      </c>
      <c r="D33">
        <v>-5.4</v>
      </c>
      <c r="E33">
        <v>-23</v>
      </c>
      <c r="F33">
        <v>-13.5</v>
      </c>
      <c r="G33" t="s">
        <v>2</v>
      </c>
      <c r="H33">
        <v>19.2</v>
      </c>
    </row>
    <row r="34" spans="1:8" x14ac:dyDescent="0.3">
      <c r="A34" t="s">
        <v>43</v>
      </c>
      <c r="B34">
        <v>104.4</v>
      </c>
      <c r="C34">
        <v>449.2</v>
      </c>
      <c r="D34">
        <v>6.7</v>
      </c>
      <c r="E34">
        <v>4.7</v>
      </c>
      <c r="F34">
        <v>0.1</v>
      </c>
      <c r="G34" t="s">
        <v>2</v>
      </c>
      <c r="H34" t="s">
        <v>2</v>
      </c>
    </row>
    <row r="35" spans="1:8" x14ac:dyDescent="0.3">
      <c r="A35" s="4" t="s">
        <v>42</v>
      </c>
      <c r="B35" s="4">
        <v>554.79999999999995</v>
      </c>
      <c r="C35" s="4">
        <v>249.5</v>
      </c>
      <c r="D35" s="4">
        <v>737.3</v>
      </c>
      <c r="E35" s="4">
        <v>992.6</v>
      </c>
      <c r="F35" s="4">
        <v>999.3</v>
      </c>
      <c r="G35" s="4">
        <v>694.7</v>
      </c>
      <c r="H35" s="4">
        <v>953.5</v>
      </c>
    </row>
    <row r="36" spans="1:8" x14ac:dyDescent="0.3">
      <c r="A36" t="s">
        <v>41</v>
      </c>
      <c r="B36">
        <v>85.4</v>
      </c>
      <c r="C36">
        <v>-56.7</v>
      </c>
      <c r="D36">
        <v>177.7</v>
      </c>
      <c r="E36">
        <v>248.6</v>
      </c>
      <c r="F36">
        <v>242.2</v>
      </c>
      <c r="G36">
        <v>191.7</v>
      </c>
      <c r="H36">
        <v>248.6</v>
      </c>
    </row>
    <row r="37" spans="1:8" x14ac:dyDescent="0.3">
      <c r="A37" t="s">
        <v>40</v>
      </c>
      <c r="B37">
        <v>115.4</v>
      </c>
      <c r="C37">
        <v>159.6</v>
      </c>
      <c r="D37">
        <v>171.5</v>
      </c>
      <c r="E37">
        <v>242.5</v>
      </c>
      <c r="F37">
        <v>215.9</v>
      </c>
      <c r="G37">
        <v>212.3</v>
      </c>
      <c r="H37">
        <v>261.5</v>
      </c>
    </row>
    <row r="38" spans="1:8" x14ac:dyDescent="0.3">
      <c r="A38" t="s">
        <v>39</v>
      </c>
      <c r="B38">
        <v>-30</v>
      </c>
      <c r="C38">
        <v>-216.3</v>
      </c>
      <c r="D38">
        <v>6.2</v>
      </c>
      <c r="E38">
        <v>6.1</v>
      </c>
      <c r="F38">
        <v>26.3</v>
      </c>
      <c r="G38">
        <v>-20.6</v>
      </c>
      <c r="H38">
        <v>-12.9</v>
      </c>
    </row>
    <row r="39" spans="1:8" x14ac:dyDescent="0.3">
      <c r="A39" t="s">
        <v>38</v>
      </c>
      <c r="B39">
        <v>2</v>
      </c>
      <c r="C39">
        <v>2.6</v>
      </c>
      <c r="D39">
        <v>3.7</v>
      </c>
      <c r="E39">
        <v>3.9</v>
      </c>
      <c r="F39">
        <v>0</v>
      </c>
      <c r="G39">
        <v>0</v>
      </c>
      <c r="H39">
        <v>0</v>
      </c>
    </row>
    <row r="40" spans="1:8" x14ac:dyDescent="0.3">
      <c r="A40" t="s">
        <v>37</v>
      </c>
      <c r="B40">
        <v>467.4</v>
      </c>
      <c r="C40">
        <v>303.60000000000002</v>
      </c>
      <c r="D40">
        <v>555.9</v>
      </c>
      <c r="E40">
        <v>740.1</v>
      </c>
      <c r="F40">
        <v>757.1</v>
      </c>
      <c r="G40">
        <v>503</v>
      </c>
      <c r="H40">
        <v>704.9</v>
      </c>
    </row>
    <row r="41" spans="1:8" x14ac:dyDescent="0.3">
      <c r="A41" t="s">
        <v>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34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33</v>
      </c>
      <c r="B44">
        <v>467.4</v>
      </c>
      <c r="C44">
        <v>303.60000000000002</v>
      </c>
      <c r="D44">
        <v>555.9</v>
      </c>
      <c r="E44">
        <v>740.1</v>
      </c>
      <c r="F44">
        <v>757.1</v>
      </c>
      <c r="G44">
        <v>503</v>
      </c>
      <c r="H44">
        <v>704.9</v>
      </c>
    </row>
    <row r="45" spans="1:8" x14ac:dyDescent="0.3">
      <c r="A45" t="s">
        <v>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31</v>
      </c>
      <c r="B46">
        <v>467.4</v>
      </c>
      <c r="C46">
        <v>303.60000000000002</v>
      </c>
      <c r="D46">
        <v>555.9</v>
      </c>
      <c r="E46">
        <v>740.1</v>
      </c>
      <c r="F46">
        <v>757.1</v>
      </c>
      <c r="G46">
        <v>503</v>
      </c>
      <c r="H46">
        <v>704.9</v>
      </c>
    </row>
    <row r="47" spans="1:8" x14ac:dyDescent="0.3">
      <c r="A47" s="4" t="s">
        <v>316</v>
      </c>
      <c r="B47" s="5">
        <f>B46/B4</f>
        <v>6.5288448107277547E-2</v>
      </c>
      <c r="C47" s="5">
        <f t="shared" ref="C47:H47" si="8">C46/C4</f>
        <v>4.2941401111724023E-2</v>
      </c>
      <c r="D47" s="5">
        <f t="shared" si="8"/>
        <v>7.9738937101054286E-2</v>
      </c>
      <c r="E47" s="5">
        <f t="shared" si="8"/>
        <v>8.8020170545770257E-2</v>
      </c>
      <c r="F47" s="5">
        <f t="shared" si="8"/>
        <v>8.3756485568572792E-2</v>
      </c>
      <c r="G47" s="5">
        <f t="shared" si="8"/>
        <v>6.0136532644692327E-2</v>
      </c>
      <c r="H47" s="5">
        <f t="shared" si="8"/>
        <v>8.0507555078406054E-2</v>
      </c>
    </row>
    <row r="48" spans="1:8" x14ac:dyDescent="0.3">
      <c r="A48" t="s">
        <v>30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29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28</v>
      </c>
      <c r="B50">
        <v>467.4</v>
      </c>
      <c r="C50">
        <v>303.60000000000002</v>
      </c>
      <c r="D50">
        <v>555.9</v>
      </c>
      <c r="E50">
        <v>740.1</v>
      </c>
      <c r="F50">
        <v>757.1</v>
      </c>
      <c r="G50">
        <v>503</v>
      </c>
      <c r="H50">
        <v>704.9</v>
      </c>
    </row>
    <row r="52" spans="1:8" x14ac:dyDescent="0.3">
      <c r="A52" t="s">
        <v>27</v>
      </c>
      <c r="B52">
        <v>522.86800000000005</v>
      </c>
      <c r="C52">
        <v>648.56700000000001</v>
      </c>
      <c r="D52">
        <v>592.20699999999999</v>
      </c>
      <c r="E52">
        <v>745.58399999999995</v>
      </c>
      <c r="F52">
        <v>752.4</v>
      </c>
      <c r="G52">
        <v>590.005</v>
      </c>
      <c r="H52">
        <v>749.05700000000002</v>
      </c>
    </row>
    <row r="53" spans="1:8" x14ac:dyDescent="0.3">
      <c r="A53" t="s">
        <v>26</v>
      </c>
      <c r="B53">
        <v>55.468000000000004</v>
      </c>
      <c r="C53">
        <v>344.96699999999998</v>
      </c>
      <c r="D53">
        <v>36.307000000000002</v>
      </c>
      <c r="E53">
        <v>5.484</v>
      </c>
      <c r="F53">
        <v>-4.7</v>
      </c>
      <c r="G53">
        <v>87.004999999999995</v>
      </c>
      <c r="H53">
        <v>44.156999999999996</v>
      </c>
    </row>
    <row r="54" spans="1:8" x14ac:dyDescent="0.3">
      <c r="A54" t="s">
        <v>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6" spans="1:8" x14ac:dyDescent="0.3">
      <c r="A56" t="s">
        <v>24</v>
      </c>
      <c r="B56">
        <v>87.3</v>
      </c>
      <c r="C56">
        <v>84</v>
      </c>
      <c r="D56">
        <v>83.4</v>
      </c>
      <c r="E56">
        <v>82.9</v>
      </c>
      <c r="F56">
        <v>81.599999999999994</v>
      </c>
      <c r="G56">
        <v>80.7</v>
      </c>
      <c r="H56">
        <v>80.400000000000006</v>
      </c>
    </row>
    <row r="57" spans="1:8" x14ac:dyDescent="0.3">
      <c r="A57" t="s">
        <v>23</v>
      </c>
      <c r="B57">
        <v>5.35</v>
      </c>
      <c r="C57">
        <v>3.61</v>
      </c>
      <c r="D57">
        <v>6.67</v>
      </c>
      <c r="E57">
        <v>8.93</v>
      </c>
      <c r="F57">
        <v>9.2799999999999994</v>
      </c>
      <c r="G57">
        <v>6.23</v>
      </c>
      <c r="H57">
        <v>8.77</v>
      </c>
    </row>
    <row r="58" spans="1:8" x14ac:dyDescent="0.3">
      <c r="A58" t="s">
        <v>22</v>
      </c>
      <c r="B58">
        <v>5.35</v>
      </c>
      <c r="C58">
        <v>3.61</v>
      </c>
      <c r="D58">
        <v>6.67</v>
      </c>
      <c r="E58">
        <v>8.93</v>
      </c>
      <c r="F58">
        <v>9.2799999999999994</v>
      </c>
      <c r="G58">
        <v>6.23</v>
      </c>
      <c r="H58">
        <v>8.77</v>
      </c>
    </row>
    <row r="59" spans="1:8" x14ac:dyDescent="0.3">
      <c r="A59" t="s">
        <v>21</v>
      </c>
      <c r="B59">
        <v>5.9893000000000001</v>
      </c>
      <c r="C59">
        <v>7.7210000000000001</v>
      </c>
      <c r="D59">
        <v>7.1007999999999996</v>
      </c>
      <c r="E59">
        <v>8.9938000000000002</v>
      </c>
      <c r="F59">
        <v>9.2205999999999992</v>
      </c>
      <c r="G59">
        <v>7.3110999999999997</v>
      </c>
      <c r="H59">
        <v>9.3165999999999993</v>
      </c>
    </row>
    <row r="61" spans="1:8" x14ac:dyDescent="0.3">
      <c r="A61" t="s">
        <v>20</v>
      </c>
      <c r="B61">
        <v>88.6</v>
      </c>
      <c r="C61">
        <v>85</v>
      </c>
      <c r="D61">
        <v>84.1</v>
      </c>
      <c r="E61">
        <v>83.8</v>
      </c>
      <c r="F61">
        <v>82.2</v>
      </c>
      <c r="G61">
        <v>81.099999999999994</v>
      </c>
      <c r="H61">
        <v>80.7</v>
      </c>
    </row>
    <row r="62" spans="1:8" x14ac:dyDescent="0.3">
      <c r="A62" t="s">
        <v>19</v>
      </c>
      <c r="B62">
        <v>5.28</v>
      </c>
      <c r="C62">
        <v>3.57</v>
      </c>
      <c r="D62">
        <v>6.61</v>
      </c>
      <c r="E62">
        <v>8.83</v>
      </c>
      <c r="F62">
        <v>9.2100000000000009</v>
      </c>
      <c r="G62">
        <v>6.2</v>
      </c>
      <c r="H62">
        <v>8.73</v>
      </c>
    </row>
    <row r="63" spans="1:8" x14ac:dyDescent="0.3">
      <c r="A63" t="s">
        <v>18</v>
      </c>
      <c r="B63">
        <v>5.28</v>
      </c>
      <c r="C63">
        <v>3.57</v>
      </c>
      <c r="D63">
        <v>6.61</v>
      </c>
      <c r="E63">
        <v>8.83</v>
      </c>
      <c r="F63">
        <v>9.2100000000000009</v>
      </c>
      <c r="G63">
        <v>6.2</v>
      </c>
      <c r="H63">
        <v>8.73</v>
      </c>
    </row>
    <row r="64" spans="1:8" x14ac:dyDescent="0.3">
      <c r="A64" t="s">
        <v>17</v>
      </c>
      <c r="B64">
        <v>5.9059999999999997</v>
      </c>
      <c r="C64">
        <v>7.6284000000000001</v>
      </c>
      <c r="D64">
        <v>7.0416999999999996</v>
      </c>
      <c r="E64">
        <v>8.8954000000000004</v>
      </c>
      <c r="F64">
        <v>9.1527999999999992</v>
      </c>
      <c r="G64">
        <v>7.2728000000000002</v>
      </c>
      <c r="H64">
        <v>9.2772000000000006</v>
      </c>
    </row>
    <row r="66" spans="1:11" x14ac:dyDescent="0.3">
      <c r="A66" t="s">
        <v>16</v>
      </c>
    </row>
    <row r="67" spans="1:11" x14ac:dyDescent="0.3">
      <c r="A67" t="s">
        <v>15</v>
      </c>
      <c r="B67" t="s">
        <v>13</v>
      </c>
      <c r="C67" t="s">
        <v>13</v>
      </c>
      <c r="D67" t="s">
        <v>13</v>
      </c>
      <c r="E67" t="s">
        <v>13</v>
      </c>
      <c r="F67" t="s">
        <v>13</v>
      </c>
      <c r="G67" t="s">
        <v>13</v>
      </c>
      <c r="H67" t="s">
        <v>13</v>
      </c>
    </row>
    <row r="68" spans="1:11" x14ac:dyDescent="0.3">
      <c r="A68" t="s">
        <v>12</v>
      </c>
      <c r="B68">
        <v>969</v>
      </c>
      <c r="C68">
        <v>1068.0999999999999</v>
      </c>
      <c r="D68">
        <v>1137.0999999999999</v>
      </c>
      <c r="E68">
        <v>1402.2</v>
      </c>
      <c r="F68">
        <v>1448.4</v>
      </c>
      <c r="G68">
        <v>1304.4000000000001</v>
      </c>
      <c r="H68">
        <v>1490.2</v>
      </c>
    </row>
    <row r="69" spans="1:11" x14ac:dyDescent="0.3">
      <c r="A69" s="4" t="s">
        <v>317</v>
      </c>
      <c r="B69" s="6">
        <v>0.135354</v>
      </c>
      <c r="C69" s="6">
        <v>0.15107300000000001</v>
      </c>
      <c r="D69" s="6">
        <v>0.163107</v>
      </c>
      <c r="E69" s="6">
        <v>0.166764</v>
      </c>
      <c r="F69" s="6">
        <v>0.16023399999999999</v>
      </c>
      <c r="G69" s="6">
        <v>0.155948</v>
      </c>
      <c r="H69" s="6">
        <v>0.17019799999999999</v>
      </c>
    </row>
    <row r="70" spans="1:11" x14ac:dyDescent="0.3">
      <c r="A70" t="s">
        <v>11</v>
      </c>
      <c r="B70">
        <v>827.5</v>
      </c>
      <c r="C70">
        <v>927.8</v>
      </c>
      <c r="D70">
        <v>982.9</v>
      </c>
      <c r="E70">
        <v>1234.9000000000001</v>
      </c>
      <c r="F70">
        <v>1271</v>
      </c>
      <c r="G70">
        <v>1117</v>
      </c>
      <c r="H70">
        <v>1293.0999999999999</v>
      </c>
    </row>
    <row r="71" spans="1:11" x14ac:dyDescent="0.3">
      <c r="A71" t="s">
        <v>10</v>
      </c>
      <c r="B71">
        <v>788</v>
      </c>
      <c r="C71">
        <v>823.7</v>
      </c>
      <c r="D71">
        <v>868.7</v>
      </c>
      <c r="E71">
        <v>1089.3</v>
      </c>
      <c r="F71">
        <v>1086.9000000000001</v>
      </c>
      <c r="G71">
        <v>932.4</v>
      </c>
      <c r="H71">
        <v>1102.9000000000001</v>
      </c>
    </row>
    <row r="72" spans="1:11" x14ac:dyDescent="0.3">
      <c r="A72" s="4" t="s">
        <v>318</v>
      </c>
      <c r="B72" s="5">
        <f>B71/B4</f>
        <v>0.11007123899986032</v>
      </c>
      <c r="C72" s="5">
        <f t="shared" ref="C72:H72" si="9">C71/C4</f>
        <v>0.1165047170478494</v>
      </c>
      <c r="D72" s="5">
        <f t="shared" si="9"/>
        <v>0.12460732984293195</v>
      </c>
      <c r="E72" s="5">
        <f t="shared" si="9"/>
        <v>0.12955056313404612</v>
      </c>
      <c r="F72" s="5">
        <f t="shared" si="9"/>
        <v>0.12024161162921909</v>
      </c>
      <c r="G72" s="5">
        <f t="shared" si="9"/>
        <v>0.11147376349485313</v>
      </c>
      <c r="H72" s="5">
        <f t="shared" si="9"/>
        <v>0.12596365795995751</v>
      </c>
      <c r="K72" s="12"/>
    </row>
    <row r="73" spans="1:11" x14ac:dyDescent="0.3">
      <c r="A73" t="s">
        <v>9</v>
      </c>
      <c r="B73">
        <v>26.756499999999999</v>
      </c>
      <c r="C73">
        <v>26.931699999999999</v>
      </c>
      <c r="D73">
        <v>27.588000000000001</v>
      </c>
      <c r="E73">
        <v>27.5062</v>
      </c>
      <c r="F73">
        <v>26.597200000000001</v>
      </c>
      <c r="G73">
        <v>27.2288</v>
      </c>
      <c r="H73">
        <v>28.903500000000001</v>
      </c>
    </row>
    <row r="74" spans="1:11" x14ac:dyDescent="0.3">
      <c r="A74" t="s">
        <v>8</v>
      </c>
      <c r="B74">
        <v>11.007099999999999</v>
      </c>
      <c r="C74">
        <v>11.650499999999999</v>
      </c>
      <c r="D74">
        <v>12.460699999999999</v>
      </c>
      <c r="E74">
        <v>12.9551</v>
      </c>
      <c r="F74">
        <v>12.0242</v>
      </c>
      <c r="G74">
        <v>11.147399999999999</v>
      </c>
      <c r="H74">
        <v>12.596399999999999</v>
      </c>
    </row>
    <row r="75" spans="1:11" x14ac:dyDescent="0.3">
      <c r="A75" t="s">
        <v>7</v>
      </c>
      <c r="B75">
        <v>7.3036000000000003</v>
      </c>
      <c r="C75">
        <v>9.1734000000000009</v>
      </c>
      <c r="D75">
        <v>8.4946999999999999</v>
      </c>
      <c r="E75">
        <v>8.8672000000000004</v>
      </c>
      <c r="F75">
        <v>8.3237000000000005</v>
      </c>
      <c r="G75">
        <v>7.0537999999999998</v>
      </c>
      <c r="H75">
        <v>8.5550999999999995</v>
      </c>
    </row>
    <row r="76" spans="1:11" x14ac:dyDescent="0.3">
      <c r="A76" t="s">
        <v>6</v>
      </c>
      <c r="B76">
        <v>223718.75</v>
      </c>
      <c r="C76">
        <v>220940.625</v>
      </c>
      <c r="D76">
        <v>217859.375</v>
      </c>
      <c r="E76">
        <v>233563.88889999999</v>
      </c>
      <c r="F76">
        <v>251091.6667</v>
      </c>
      <c r="G76">
        <v>238980</v>
      </c>
      <c r="H76">
        <v>250162.85709999999</v>
      </c>
    </row>
    <row r="77" spans="1:11" x14ac:dyDescent="0.3">
      <c r="A77" t="s">
        <v>5</v>
      </c>
      <c r="B77">
        <v>2.0099999999999998</v>
      </c>
      <c r="C77">
        <v>2.2599999999999998</v>
      </c>
      <c r="D77">
        <v>2.36</v>
      </c>
      <c r="E77">
        <v>2.66</v>
      </c>
      <c r="F77">
        <v>2.93</v>
      </c>
      <c r="G77">
        <v>3.18</v>
      </c>
      <c r="H77">
        <v>3.45</v>
      </c>
    </row>
    <row r="78" spans="1:11" x14ac:dyDescent="0.3">
      <c r="A78" t="s">
        <v>4</v>
      </c>
      <c r="B78">
        <v>175.47300000000001</v>
      </c>
      <c r="C78">
        <v>189.84</v>
      </c>
      <c r="D78">
        <v>196.82400000000001</v>
      </c>
      <c r="E78">
        <v>220.51400000000001</v>
      </c>
      <c r="F78">
        <v>239.08799999999999</v>
      </c>
      <c r="G78">
        <v>256.62599999999998</v>
      </c>
      <c r="H78">
        <v>277.38</v>
      </c>
    </row>
    <row r="79" spans="1:11" x14ac:dyDescent="0.3">
      <c r="A79" t="s">
        <v>3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</row>
    <row r="80" spans="1:11" x14ac:dyDescent="0.3">
      <c r="A80" t="s">
        <v>1</v>
      </c>
      <c r="B80">
        <v>141.5</v>
      </c>
      <c r="C80">
        <v>140.30000000000001</v>
      </c>
      <c r="D80">
        <v>154.19999999999999</v>
      </c>
      <c r="E80">
        <v>167.3</v>
      </c>
      <c r="F80">
        <v>177.4</v>
      </c>
      <c r="G80">
        <v>187.4</v>
      </c>
      <c r="H80">
        <v>197.1</v>
      </c>
    </row>
    <row r="81" spans="1:8" x14ac:dyDescent="0.3">
      <c r="A81" s="4" t="s">
        <v>337</v>
      </c>
      <c r="B81" s="5">
        <f>B80/B4</f>
        <v>1.9765330353401313E-2</v>
      </c>
      <c r="C81" s="5">
        <f t="shared" ref="C81:H81" si="10">C80/C4</f>
        <v>1.9844132331933072E-2</v>
      </c>
      <c r="D81" s="5">
        <f t="shared" si="10"/>
        <v>2.2118625833751702E-2</v>
      </c>
      <c r="E81" s="5">
        <f t="shared" si="10"/>
        <v>1.9897006529262757E-2</v>
      </c>
      <c r="F81" s="5">
        <f t="shared" si="10"/>
        <v>1.9625413472282149E-2</v>
      </c>
      <c r="G81" s="5">
        <f t="shared" si="10"/>
        <v>2.2404743971402272E-2</v>
      </c>
      <c r="H81" s="5">
        <f t="shared" si="10"/>
        <v>2.2511049944607512E-2</v>
      </c>
    </row>
    <row r="82" spans="1:8" x14ac:dyDescent="0.3">
      <c r="A82" t="s">
        <v>0</v>
      </c>
      <c r="B82">
        <v>66</v>
      </c>
      <c r="C82">
        <v>65.400000000000006</v>
      </c>
      <c r="D82">
        <v>63.1</v>
      </c>
      <c r="E82">
        <v>68.8</v>
      </c>
      <c r="F82">
        <v>70.8</v>
      </c>
      <c r="G82">
        <v>73.599999999999994</v>
      </c>
      <c r="H82">
        <v>75.099999999999994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2A45-1F44-4D34-B7A9-FDB3F4ABAAEE}">
  <dimension ref="A1:V96"/>
  <sheetViews>
    <sheetView topLeftCell="A66" workbookViewId="0">
      <selection activeCell="L79" sqref="L79"/>
    </sheetView>
  </sheetViews>
  <sheetFormatPr defaultRowHeight="14.4" x14ac:dyDescent="0.3"/>
  <cols>
    <col min="1" max="1" width="38.77734375" bestFit="1" customWidth="1"/>
    <col min="2" max="2" width="36.21875" hidden="1" customWidth="1"/>
    <col min="3" max="5" width="10.5546875" hidden="1" customWidth="1"/>
    <col min="6" max="9" width="10.5546875" bestFit="1" customWidth="1"/>
    <col min="10" max="12" width="11.33203125" customWidth="1"/>
    <col min="14" max="14" width="38.5546875" customWidth="1"/>
    <col min="15" max="21" width="10.33203125" customWidth="1"/>
  </cols>
  <sheetData>
    <row r="1" spans="1:21" x14ac:dyDescent="0.3">
      <c r="A1" s="2" t="s">
        <v>262</v>
      </c>
      <c r="B1" s="2"/>
      <c r="C1" s="2" t="s">
        <v>261</v>
      </c>
      <c r="D1" s="2" t="s">
        <v>260</v>
      </c>
      <c r="E1" s="2" t="s">
        <v>259</v>
      </c>
      <c r="F1" s="2" t="s">
        <v>86</v>
      </c>
      <c r="G1" s="2" t="s">
        <v>85</v>
      </c>
      <c r="H1" s="2" t="s">
        <v>84</v>
      </c>
      <c r="I1" s="2" t="s">
        <v>83</v>
      </c>
      <c r="J1" s="2" t="s">
        <v>82</v>
      </c>
      <c r="K1" s="2" t="s">
        <v>81</v>
      </c>
      <c r="L1" s="2" t="s">
        <v>80</v>
      </c>
      <c r="N1" s="1"/>
      <c r="O1" s="1"/>
      <c r="P1" s="1"/>
      <c r="Q1" s="1"/>
      <c r="R1" s="1"/>
      <c r="S1" s="1"/>
      <c r="T1" s="1"/>
      <c r="U1" s="1"/>
    </row>
    <row r="2" spans="1:21" x14ac:dyDescent="0.3">
      <c r="A2" s="11" t="s">
        <v>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O2" s="10"/>
      <c r="P2" s="10"/>
      <c r="Q2" s="10"/>
      <c r="R2" s="10"/>
      <c r="S2" s="10"/>
      <c r="T2" s="10"/>
      <c r="U2" s="10"/>
    </row>
    <row r="3" spans="1:21" x14ac:dyDescent="0.3">
      <c r="A3" s="1" t="s">
        <v>79</v>
      </c>
      <c r="B3" s="1"/>
      <c r="C3" s="1" t="s">
        <v>258</v>
      </c>
      <c r="D3" s="1" t="s">
        <v>257</v>
      </c>
      <c r="E3" s="1" t="s">
        <v>256</v>
      </c>
      <c r="F3" s="1" t="s">
        <v>78</v>
      </c>
      <c r="G3" s="1" t="s">
        <v>77</v>
      </c>
      <c r="H3" s="1" t="s">
        <v>76</v>
      </c>
      <c r="I3" s="1" t="s">
        <v>75</v>
      </c>
      <c r="J3" s="1" t="s">
        <v>74</v>
      </c>
      <c r="K3" s="1" t="s">
        <v>73</v>
      </c>
      <c r="L3" s="1" t="s">
        <v>72</v>
      </c>
      <c r="O3" s="10"/>
      <c r="P3" s="10"/>
      <c r="Q3" s="10"/>
      <c r="R3" s="10"/>
      <c r="S3" s="10"/>
      <c r="T3" s="10"/>
      <c r="U3" s="10"/>
    </row>
    <row r="4" spans="1:2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O4" s="10"/>
      <c r="P4" s="10"/>
      <c r="Q4" s="10"/>
      <c r="R4" s="10"/>
      <c r="S4" s="10"/>
      <c r="T4" s="10"/>
      <c r="U4" s="10"/>
    </row>
    <row r="5" spans="1:21" x14ac:dyDescent="0.3">
      <c r="A5" t="s">
        <v>195</v>
      </c>
    </row>
    <row r="6" spans="1:21" x14ac:dyDescent="0.3">
      <c r="A6" t="s">
        <v>255</v>
      </c>
      <c r="B6" t="s">
        <v>254</v>
      </c>
      <c r="C6">
        <v>158.80000000000001</v>
      </c>
      <c r="D6">
        <v>195.1</v>
      </c>
      <c r="E6">
        <v>224.4</v>
      </c>
      <c r="F6">
        <v>232</v>
      </c>
      <c r="G6">
        <v>253.7</v>
      </c>
      <c r="H6">
        <v>252.3</v>
      </c>
      <c r="I6">
        <v>162.69999999999999</v>
      </c>
      <c r="J6">
        <v>167.2</v>
      </c>
      <c r="K6">
        <v>215</v>
      </c>
      <c r="L6">
        <v>329.1</v>
      </c>
      <c r="N6" s="13" t="s">
        <v>322</v>
      </c>
      <c r="O6" s="13" t="s">
        <v>86</v>
      </c>
      <c r="P6" s="13" t="s">
        <v>85</v>
      </c>
      <c r="Q6" s="13" t="s">
        <v>84</v>
      </c>
      <c r="R6" s="13" t="s">
        <v>83</v>
      </c>
      <c r="S6" s="13" t="s">
        <v>82</v>
      </c>
      <c r="T6" s="13" t="s">
        <v>81</v>
      </c>
      <c r="U6" s="13" t="s">
        <v>80</v>
      </c>
    </row>
    <row r="7" spans="1:21" x14ac:dyDescent="0.3">
      <c r="A7" t="s">
        <v>253</v>
      </c>
      <c r="B7" t="s">
        <v>252</v>
      </c>
      <c r="C7">
        <v>158.80000000000001</v>
      </c>
      <c r="D7">
        <v>195.1</v>
      </c>
      <c r="E7">
        <v>224.4</v>
      </c>
      <c r="F7">
        <v>232</v>
      </c>
      <c r="G7">
        <v>253.7</v>
      </c>
      <c r="H7">
        <v>252.3</v>
      </c>
      <c r="I7">
        <v>162.69999999999999</v>
      </c>
      <c r="J7">
        <v>167.2</v>
      </c>
      <c r="K7">
        <v>215</v>
      </c>
      <c r="L7">
        <v>329.1</v>
      </c>
      <c r="N7" t="s">
        <v>323</v>
      </c>
      <c r="O7" s="10">
        <f>F14/'Income Statement'!B9*365</f>
        <v>37.481336465674758</v>
      </c>
      <c r="P7" s="10">
        <f>G14/'Income Statement'!C9*365</f>
        <v>38.530014179927527</v>
      </c>
      <c r="Q7" s="10">
        <f>H14/'Income Statement'!D9*365</f>
        <v>39.910310403993137</v>
      </c>
      <c r="R7" s="10">
        <f>I14/'Income Statement'!E9*365</f>
        <v>36.78722760290556</v>
      </c>
      <c r="S7" s="10">
        <f>J14/'Income Statement'!F9*365</f>
        <v>38.728683137842111</v>
      </c>
      <c r="T7" s="10">
        <f>K14/'Income Statement'!G9*365</f>
        <v>38.174753018660809</v>
      </c>
      <c r="U7" s="10">
        <f>L14/'Income Statement'!H9*365</f>
        <v>32.437072746670886</v>
      </c>
    </row>
    <row r="8" spans="1:21" x14ac:dyDescent="0.3">
      <c r="A8" t="s">
        <v>251</v>
      </c>
      <c r="B8" t="s">
        <v>250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 t="s">
        <v>324</v>
      </c>
      <c r="O8" s="10">
        <f>F46/'Income Statement'!B13*365</f>
        <v>2.0921985815602842</v>
      </c>
      <c r="P8" s="10">
        <f>G46/'Income Statement'!C13*365</f>
        <v>16.960417088479449</v>
      </c>
      <c r="Q8" s="10">
        <f>H46/'Income Statement'!D13*365</f>
        <v>19.218634589004957</v>
      </c>
      <c r="R8" s="10">
        <f>I46/'Income Statement'!E13*365</f>
        <v>17.332493929310186</v>
      </c>
      <c r="S8" s="10">
        <f>J46/'Income Statement'!F13*365</f>
        <v>14.603666192349541</v>
      </c>
      <c r="T8" s="10">
        <f>K46/'Income Statement'!G13*365</f>
        <v>16.020460140928773</v>
      </c>
      <c r="U8" s="10">
        <f>L46/'Income Statement'!H13*365</f>
        <v>15.4</v>
      </c>
    </row>
    <row r="9" spans="1:21" x14ac:dyDescent="0.3">
      <c r="A9" t="s">
        <v>249</v>
      </c>
      <c r="B9" t="s">
        <v>248</v>
      </c>
      <c r="C9">
        <v>964.7</v>
      </c>
      <c r="D9">
        <v>1001</v>
      </c>
      <c r="E9">
        <v>1180.3</v>
      </c>
      <c r="F9">
        <v>1189.7</v>
      </c>
      <c r="G9">
        <v>1212.2</v>
      </c>
      <c r="H9">
        <v>1235.2</v>
      </c>
      <c r="I9">
        <v>1424.5</v>
      </c>
      <c r="J9">
        <v>1374.4</v>
      </c>
      <c r="K9">
        <v>1414.9</v>
      </c>
      <c r="L9">
        <v>1466.2</v>
      </c>
      <c r="O9" s="9"/>
      <c r="P9" s="9"/>
      <c r="Q9" s="9"/>
      <c r="R9" s="9"/>
      <c r="S9" s="9"/>
      <c r="T9" s="9"/>
      <c r="U9" s="9"/>
    </row>
    <row r="10" spans="1:21" x14ac:dyDescent="0.3">
      <c r="A10" t="s">
        <v>247</v>
      </c>
      <c r="B10" t="s">
        <v>246</v>
      </c>
      <c r="C10">
        <v>964.7</v>
      </c>
      <c r="D10">
        <v>1001</v>
      </c>
      <c r="E10">
        <v>1180.3</v>
      </c>
      <c r="F10">
        <v>1189.7</v>
      </c>
      <c r="G10">
        <v>1212.2</v>
      </c>
      <c r="H10">
        <v>1235.2</v>
      </c>
      <c r="I10">
        <v>1424.5</v>
      </c>
      <c r="J10">
        <v>1374.4</v>
      </c>
      <c r="K10">
        <v>1414.9</v>
      </c>
      <c r="L10">
        <v>1466.2</v>
      </c>
    </row>
    <row r="11" spans="1:21" x14ac:dyDescent="0.3">
      <c r="A11" t="s">
        <v>245</v>
      </c>
      <c r="B11" t="s">
        <v>244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 s="33" t="s">
        <v>325</v>
      </c>
      <c r="O11" s="34" t="s">
        <v>86</v>
      </c>
      <c r="P11" s="34" t="s">
        <v>85</v>
      </c>
      <c r="Q11" s="34" t="s">
        <v>84</v>
      </c>
      <c r="R11" s="34" t="s">
        <v>83</v>
      </c>
      <c r="S11" s="34" t="s">
        <v>82</v>
      </c>
      <c r="T11" s="34" t="s">
        <v>81</v>
      </c>
      <c r="U11" s="35" t="s">
        <v>80</v>
      </c>
    </row>
    <row r="12" spans="1:21" x14ac:dyDescent="0.3">
      <c r="A12" t="s">
        <v>243</v>
      </c>
      <c r="B12" t="s">
        <v>242</v>
      </c>
      <c r="C12">
        <v>478.7</v>
      </c>
      <c r="D12">
        <v>519.1</v>
      </c>
      <c r="E12">
        <v>609.6</v>
      </c>
      <c r="F12">
        <v>651.4</v>
      </c>
      <c r="G12">
        <v>663</v>
      </c>
      <c r="H12">
        <v>717.2</v>
      </c>
      <c r="I12">
        <v>907.2</v>
      </c>
      <c r="J12">
        <v>1009.9</v>
      </c>
      <c r="K12">
        <v>920.7</v>
      </c>
      <c r="L12">
        <v>978.1</v>
      </c>
      <c r="N12" s="14" t="s">
        <v>326</v>
      </c>
      <c r="O12" s="36">
        <v>2.0586326039158203</v>
      </c>
      <c r="P12" s="36">
        <v>1.7274086378737543</v>
      </c>
      <c r="Q12" s="36">
        <v>1.5335039396592363</v>
      </c>
      <c r="R12" s="36">
        <v>1.7082207441280397</v>
      </c>
      <c r="S12" s="36">
        <v>1.6032378702883574</v>
      </c>
      <c r="T12" s="36">
        <v>1.6175572160345881</v>
      </c>
      <c r="U12" s="37">
        <v>1.4608398564200147</v>
      </c>
    </row>
    <row r="13" spans="1:21" x14ac:dyDescent="0.3">
      <c r="A13" t="s">
        <v>241</v>
      </c>
      <c r="B13" t="s">
        <v>240</v>
      </c>
      <c r="C13">
        <v>180.5</v>
      </c>
      <c r="D13">
        <v>185</v>
      </c>
      <c r="E13">
        <v>214.6</v>
      </c>
      <c r="F13">
        <v>236.2</v>
      </c>
      <c r="G13">
        <v>231.6</v>
      </c>
      <c r="H13">
        <v>268.60000000000002</v>
      </c>
      <c r="I13">
        <v>393.6</v>
      </c>
      <c r="J13">
        <v>457.6</v>
      </c>
      <c r="K13">
        <v>415.4</v>
      </c>
      <c r="L13">
        <v>435</v>
      </c>
      <c r="N13" s="16" t="s">
        <v>327</v>
      </c>
      <c r="O13" s="38">
        <v>0.3797585707387735</v>
      </c>
      <c r="P13" s="38">
        <v>0.37891706748287424</v>
      </c>
      <c r="Q13" s="38">
        <v>0.37428294350663227</v>
      </c>
      <c r="R13" s="38">
        <v>0.41237643634903903</v>
      </c>
      <c r="S13" s="38">
        <v>0.4097981259040312</v>
      </c>
      <c r="T13" s="38">
        <v>0.41925503666349978</v>
      </c>
      <c r="U13" s="39">
        <v>0.40192998738725871</v>
      </c>
    </row>
    <row r="14" spans="1:21" x14ac:dyDescent="0.3">
      <c r="A14" t="s">
        <v>239</v>
      </c>
      <c r="B14" t="s">
        <v>238</v>
      </c>
      <c r="C14">
        <v>143</v>
      </c>
      <c r="D14">
        <v>156.80000000000001</v>
      </c>
      <c r="E14">
        <v>179.8</v>
      </c>
      <c r="F14">
        <v>196.7</v>
      </c>
      <c r="G14">
        <v>201</v>
      </c>
      <c r="H14">
        <v>210.3</v>
      </c>
      <c r="I14">
        <v>233.1</v>
      </c>
      <c r="J14">
        <v>255.1</v>
      </c>
      <c r="K14">
        <v>238.2</v>
      </c>
      <c r="L14">
        <v>224.9</v>
      </c>
      <c r="N14" s="14" t="s">
        <v>328</v>
      </c>
      <c r="O14" s="36">
        <v>13.47008547008547</v>
      </c>
      <c r="P14" s="36">
        <v>10.86675461741425</v>
      </c>
      <c r="Q14" s="36">
        <v>12.41</v>
      </c>
      <c r="R14" s="36">
        <v>15.517094017094015</v>
      </c>
      <c r="S14" s="36">
        <v>12.923900118906067</v>
      </c>
      <c r="T14" s="36">
        <v>7.8352941176470585</v>
      </c>
      <c r="U14" s="37">
        <v>9.4264957264957268</v>
      </c>
    </row>
    <row r="15" spans="1:21" x14ac:dyDescent="0.3">
      <c r="A15" t="s">
        <v>237</v>
      </c>
      <c r="B15" t="s">
        <v>236</v>
      </c>
      <c r="C15">
        <v>155.19999999999999</v>
      </c>
      <c r="D15">
        <v>177.3</v>
      </c>
      <c r="E15">
        <v>215.2</v>
      </c>
      <c r="F15">
        <v>218.5</v>
      </c>
      <c r="G15">
        <v>230.4</v>
      </c>
      <c r="H15">
        <v>238.3</v>
      </c>
      <c r="I15">
        <v>280.5</v>
      </c>
      <c r="J15">
        <v>297.2</v>
      </c>
      <c r="K15">
        <v>267.10000000000002</v>
      </c>
      <c r="L15">
        <v>318.2</v>
      </c>
    </row>
    <row r="16" spans="1:21" x14ac:dyDescent="0.3">
      <c r="A16" t="s">
        <v>235</v>
      </c>
      <c r="B16" t="s">
        <v>234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22" x14ac:dyDescent="0.3">
      <c r="A17" t="s">
        <v>233</v>
      </c>
      <c r="B17" t="s">
        <v>232</v>
      </c>
      <c r="C17">
        <v>173.2</v>
      </c>
      <c r="D17">
        <v>189.6</v>
      </c>
      <c r="E17">
        <v>223.6</v>
      </c>
      <c r="F17">
        <v>228.5</v>
      </c>
      <c r="G17">
        <v>211.7</v>
      </c>
      <c r="H17">
        <v>211.5</v>
      </c>
      <c r="I17">
        <v>240.2</v>
      </c>
      <c r="J17">
        <v>230.5</v>
      </c>
      <c r="K17">
        <v>245.4</v>
      </c>
      <c r="L17">
        <v>305.3</v>
      </c>
    </row>
    <row r="18" spans="1:22" x14ac:dyDescent="0.3">
      <c r="A18" t="s">
        <v>205</v>
      </c>
      <c r="B18" t="s">
        <v>231</v>
      </c>
      <c r="C18">
        <v>5.6</v>
      </c>
      <c r="D18">
        <v>5.0999999999999996</v>
      </c>
      <c r="E18">
        <v>0.4</v>
      </c>
      <c r="F18">
        <v>0.6</v>
      </c>
      <c r="G18">
        <v>5.2</v>
      </c>
      <c r="H18">
        <v>5.2</v>
      </c>
      <c r="I18">
        <v>6.3</v>
      </c>
      <c r="J18">
        <v>4.3</v>
      </c>
      <c r="K18">
        <v>6.3</v>
      </c>
      <c r="L18">
        <v>11.9</v>
      </c>
    </row>
    <row r="19" spans="1:22" x14ac:dyDescent="0.3">
      <c r="A19" t="s">
        <v>230</v>
      </c>
      <c r="B19" t="s">
        <v>229</v>
      </c>
      <c r="C19">
        <v>2.5</v>
      </c>
      <c r="D19">
        <v>6.8</v>
      </c>
      <c r="E19">
        <v>6.3</v>
      </c>
      <c r="F19">
        <v>3.6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</row>
    <row r="20" spans="1:22" x14ac:dyDescent="0.3">
      <c r="A20" t="s">
        <v>207</v>
      </c>
      <c r="B20" t="s">
        <v>228</v>
      </c>
      <c r="C20">
        <v>30.9</v>
      </c>
      <c r="D20">
        <v>30.3</v>
      </c>
      <c r="E20">
        <v>28.9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N20" s="50"/>
      <c r="O20" s="50"/>
      <c r="P20" s="50"/>
      <c r="Q20" s="50"/>
      <c r="R20" s="50"/>
      <c r="S20" s="50"/>
      <c r="T20" s="50"/>
      <c r="U20" s="50"/>
    </row>
    <row r="21" spans="1:22" x14ac:dyDescent="0.3">
      <c r="A21" t="s">
        <v>227</v>
      </c>
      <c r="B21" t="s">
        <v>226</v>
      </c>
      <c r="C21">
        <v>134.19999999999999</v>
      </c>
      <c r="D21">
        <v>147.4</v>
      </c>
      <c r="E21">
        <v>188</v>
      </c>
      <c r="F21">
        <v>224.3</v>
      </c>
      <c r="G21">
        <v>206.5</v>
      </c>
      <c r="H21">
        <v>206.3</v>
      </c>
      <c r="I21">
        <v>233.9</v>
      </c>
      <c r="J21">
        <v>226.2</v>
      </c>
      <c r="K21">
        <v>239.1</v>
      </c>
      <c r="L21">
        <v>293.39999999999998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t="s">
        <v>225</v>
      </c>
      <c r="B22" t="s">
        <v>224</v>
      </c>
      <c r="C22">
        <v>1775.4</v>
      </c>
      <c r="D22">
        <v>1904.8</v>
      </c>
      <c r="E22">
        <v>2237.9</v>
      </c>
      <c r="F22">
        <v>2298</v>
      </c>
      <c r="G22">
        <v>2340.6</v>
      </c>
      <c r="H22">
        <v>2416.1999999999998</v>
      </c>
      <c r="I22">
        <v>2734.6</v>
      </c>
      <c r="J22">
        <v>2782</v>
      </c>
      <c r="K22">
        <v>2796</v>
      </c>
      <c r="L22">
        <v>3078.7</v>
      </c>
    </row>
    <row r="23" spans="1:22" x14ac:dyDescent="0.3">
      <c r="A23" t="s">
        <v>223</v>
      </c>
      <c r="B23" t="s">
        <v>222</v>
      </c>
      <c r="C23">
        <v>847.9</v>
      </c>
      <c r="D23">
        <v>915.2</v>
      </c>
      <c r="E23">
        <v>1097.9000000000001</v>
      </c>
      <c r="F23">
        <v>1137.4000000000001</v>
      </c>
      <c r="G23">
        <v>1348.8</v>
      </c>
      <c r="H23">
        <v>1505</v>
      </c>
      <c r="I23">
        <v>1660.7</v>
      </c>
      <c r="J23">
        <v>1701.9</v>
      </c>
      <c r="K23">
        <v>1826</v>
      </c>
      <c r="L23">
        <v>1814.2</v>
      </c>
    </row>
    <row r="24" spans="1:22" x14ac:dyDescent="0.3">
      <c r="A24" t="s">
        <v>221</v>
      </c>
      <c r="B24" t="s">
        <v>220</v>
      </c>
      <c r="C24">
        <v>2599.9</v>
      </c>
      <c r="D24">
        <v>2661.4</v>
      </c>
      <c r="E24">
        <v>3000.9</v>
      </c>
      <c r="F24">
        <v>3053.7</v>
      </c>
      <c r="G24">
        <v>3309.7</v>
      </c>
      <c r="H24">
        <v>3637.6</v>
      </c>
      <c r="I24">
        <v>3809.2</v>
      </c>
      <c r="J24">
        <v>3909.4</v>
      </c>
      <c r="K24">
        <v>4170.6000000000004</v>
      </c>
      <c r="L24">
        <v>4221</v>
      </c>
    </row>
    <row r="25" spans="1:22" x14ac:dyDescent="0.3">
      <c r="A25" t="s">
        <v>219</v>
      </c>
      <c r="B25" t="s">
        <v>218</v>
      </c>
      <c r="C25">
        <v>1752</v>
      </c>
      <c r="D25">
        <v>1746.2</v>
      </c>
      <c r="E25">
        <v>1903</v>
      </c>
      <c r="F25">
        <v>1916.3</v>
      </c>
      <c r="G25">
        <v>1960.9</v>
      </c>
      <c r="H25">
        <v>2132.6</v>
      </c>
      <c r="I25">
        <v>2148.5</v>
      </c>
      <c r="J25">
        <v>2207.5</v>
      </c>
      <c r="K25">
        <v>2344.6</v>
      </c>
      <c r="L25">
        <v>2406.8000000000002</v>
      </c>
    </row>
    <row r="26" spans="1:22" x14ac:dyDescent="0.3">
      <c r="A26" t="s">
        <v>217</v>
      </c>
      <c r="B26" t="s">
        <v>216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P26" s="45"/>
      <c r="Q26" s="45"/>
      <c r="R26" s="45"/>
      <c r="S26" s="45"/>
      <c r="T26" s="45"/>
      <c r="U26" s="45"/>
      <c r="V26" s="22"/>
    </row>
    <row r="27" spans="1:22" x14ac:dyDescent="0.3">
      <c r="A27" t="s">
        <v>215</v>
      </c>
      <c r="B27" t="s">
        <v>214</v>
      </c>
      <c r="C27">
        <v>1510.4</v>
      </c>
      <c r="D27">
        <v>1576.4</v>
      </c>
      <c r="E27">
        <v>1801.1</v>
      </c>
      <c r="F27">
        <v>1742.1</v>
      </c>
      <c r="G27">
        <v>1799.4</v>
      </c>
      <c r="H27">
        <v>2162.6999999999998</v>
      </c>
      <c r="I27">
        <v>3576.3</v>
      </c>
      <c r="J27">
        <v>3466.6</v>
      </c>
      <c r="K27">
        <v>3587.8</v>
      </c>
      <c r="L27">
        <v>3511.3</v>
      </c>
    </row>
    <row r="28" spans="1:22" x14ac:dyDescent="0.3">
      <c r="A28" t="s">
        <v>213</v>
      </c>
      <c r="B28" t="s">
        <v>212</v>
      </c>
      <c r="C28">
        <v>732</v>
      </c>
      <c r="D28">
        <v>860.3</v>
      </c>
      <c r="E28">
        <v>1151.4000000000001</v>
      </c>
      <c r="F28">
        <v>1085.8</v>
      </c>
      <c r="G28">
        <v>1057.3</v>
      </c>
      <c r="H28">
        <v>1361.3</v>
      </c>
      <c r="I28">
        <v>2792.9</v>
      </c>
      <c r="J28">
        <v>2702.7</v>
      </c>
      <c r="K28">
        <v>2862.7</v>
      </c>
      <c r="L28">
        <v>2731.5</v>
      </c>
    </row>
    <row r="29" spans="1:22" x14ac:dyDescent="0.3">
      <c r="A29" t="s">
        <v>211</v>
      </c>
      <c r="B29" t="s">
        <v>210</v>
      </c>
      <c r="C29">
        <v>686.2</v>
      </c>
      <c r="D29">
        <v>793.6</v>
      </c>
      <c r="E29">
        <v>985.1</v>
      </c>
      <c r="F29">
        <v>941.8</v>
      </c>
      <c r="G29">
        <v>930.8</v>
      </c>
      <c r="H29">
        <v>1136.4000000000001</v>
      </c>
      <c r="I29">
        <v>1881.5</v>
      </c>
      <c r="J29">
        <v>1862.4</v>
      </c>
      <c r="K29">
        <v>2013.6</v>
      </c>
      <c r="L29">
        <v>1976.2</v>
      </c>
      <c r="N29" s="51" t="s">
        <v>339</v>
      </c>
      <c r="O29" s="51"/>
      <c r="P29" s="51"/>
      <c r="Q29" s="51"/>
      <c r="R29" s="51"/>
      <c r="S29" s="51"/>
      <c r="T29" s="51"/>
      <c r="U29" s="51"/>
      <c r="V29" s="51"/>
    </row>
    <row r="30" spans="1:22" x14ac:dyDescent="0.3">
      <c r="A30" t="s">
        <v>209</v>
      </c>
      <c r="B30" t="s">
        <v>208</v>
      </c>
      <c r="C30">
        <v>45.8</v>
      </c>
      <c r="D30">
        <v>66.7</v>
      </c>
      <c r="E30">
        <v>166.3</v>
      </c>
      <c r="F30">
        <v>144</v>
      </c>
      <c r="G30">
        <v>126.5</v>
      </c>
      <c r="H30">
        <v>224.9</v>
      </c>
      <c r="I30">
        <v>911.4</v>
      </c>
      <c r="J30">
        <v>840.3</v>
      </c>
      <c r="K30">
        <v>849.1</v>
      </c>
      <c r="L30">
        <v>755.3</v>
      </c>
      <c r="N30" s="27" t="s">
        <v>339</v>
      </c>
      <c r="O30" s="28" t="s">
        <v>86</v>
      </c>
      <c r="P30" s="28" t="s">
        <v>85</v>
      </c>
      <c r="Q30" s="28" t="s">
        <v>84</v>
      </c>
      <c r="R30" s="28" t="s">
        <v>83</v>
      </c>
      <c r="S30" s="28" t="s">
        <v>82</v>
      </c>
      <c r="T30" s="28" t="s">
        <v>81</v>
      </c>
      <c r="U30" s="28" t="s">
        <v>80</v>
      </c>
      <c r="V30" s="40" t="s">
        <v>362</v>
      </c>
    </row>
    <row r="31" spans="1:22" x14ac:dyDescent="0.3">
      <c r="A31" t="s">
        <v>207</v>
      </c>
      <c r="B31" t="s">
        <v>206</v>
      </c>
      <c r="C31">
        <v>372.2</v>
      </c>
      <c r="D31">
        <v>313.2</v>
      </c>
      <c r="E31">
        <v>196.3</v>
      </c>
      <c r="F31">
        <v>205.3</v>
      </c>
      <c r="G31">
        <v>225.4</v>
      </c>
      <c r="H31">
        <v>197.7</v>
      </c>
      <c r="I31">
        <v>130.19999999999999</v>
      </c>
      <c r="J31">
        <v>115.1</v>
      </c>
      <c r="K31">
        <v>115.7</v>
      </c>
      <c r="L31">
        <v>110</v>
      </c>
      <c r="N31" s="14" t="s">
        <v>355</v>
      </c>
      <c r="O31" s="15">
        <v>2065.4</v>
      </c>
      <c r="P31" s="15">
        <v>2081.6999999999998</v>
      </c>
      <c r="Q31" s="15">
        <v>2158.7000000000003</v>
      </c>
      <c r="R31" s="15">
        <v>2565.6</v>
      </c>
      <c r="S31" s="15">
        <v>2610.5</v>
      </c>
      <c r="T31" s="15">
        <v>2574.7000000000003</v>
      </c>
      <c r="U31" s="15">
        <v>2737.7000000000003</v>
      </c>
      <c r="V31" s="41"/>
    </row>
    <row r="32" spans="1:22" x14ac:dyDescent="0.3">
      <c r="A32" t="s">
        <v>205</v>
      </c>
      <c r="B32" t="s">
        <v>204</v>
      </c>
      <c r="C32">
        <v>0</v>
      </c>
      <c r="D32">
        <v>0.1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 s="16" t="s">
        <v>356</v>
      </c>
      <c r="O32" s="17">
        <v>1798.6</v>
      </c>
      <c r="P32" s="17">
        <v>1767.1</v>
      </c>
      <c r="Q32" s="17">
        <v>1808.5</v>
      </c>
      <c r="R32" s="17">
        <v>2178.9</v>
      </c>
      <c r="S32" s="17">
        <v>2149</v>
      </c>
      <c r="T32" s="17">
        <v>2025.9</v>
      </c>
      <c r="U32" s="17">
        <v>2216.5</v>
      </c>
      <c r="V32" s="41"/>
    </row>
    <row r="33" spans="1:22" x14ac:dyDescent="0.3">
      <c r="A33" t="s">
        <v>203</v>
      </c>
      <c r="B33" t="s">
        <v>202</v>
      </c>
      <c r="C33" t="s">
        <v>2</v>
      </c>
      <c r="D33" t="s">
        <v>2</v>
      </c>
      <c r="E33" t="s">
        <v>2</v>
      </c>
      <c r="F33">
        <v>12.6</v>
      </c>
      <c r="G33">
        <v>50.8</v>
      </c>
      <c r="H33">
        <v>92.4</v>
      </c>
      <c r="I33">
        <v>113.6</v>
      </c>
      <c r="J33">
        <v>70</v>
      </c>
      <c r="K33">
        <v>67.8</v>
      </c>
      <c r="L33">
        <v>84.7</v>
      </c>
      <c r="N33" s="14" t="s">
        <v>357</v>
      </c>
      <c r="O33" s="15">
        <v>266.80000000000018</v>
      </c>
      <c r="P33" s="15">
        <v>314.59999999999991</v>
      </c>
      <c r="Q33" s="15">
        <v>350.20000000000027</v>
      </c>
      <c r="R33" s="15">
        <v>386.69999999999982</v>
      </c>
      <c r="S33" s="15">
        <v>461.5</v>
      </c>
      <c r="T33" s="15">
        <v>548.80000000000018</v>
      </c>
      <c r="U33" s="15">
        <v>521.20000000000027</v>
      </c>
      <c r="V33" s="41"/>
    </row>
    <row r="34" spans="1:22" x14ac:dyDescent="0.3">
      <c r="A34" t="s">
        <v>201</v>
      </c>
      <c r="B34" t="s">
        <v>200</v>
      </c>
      <c r="C34" t="s">
        <v>2</v>
      </c>
      <c r="D34" t="s">
        <v>2</v>
      </c>
      <c r="E34">
        <v>9.1</v>
      </c>
      <c r="F34">
        <v>6.7</v>
      </c>
      <c r="G34">
        <v>8.8000000000000007</v>
      </c>
      <c r="H34">
        <v>5.3</v>
      </c>
      <c r="I34" t="s">
        <v>2</v>
      </c>
      <c r="J34" t="s">
        <v>2</v>
      </c>
      <c r="K34" t="s">
        <v>2</v>
      </c>
      <c r="L34" t="s">
        <v>2</v>
      </c>
      <c r="N34" s="16" t="s">
        <v>342</v>
      </c>
      <c r="O34" s="17"/>
      <c r="P34" s="17">
        <v>47.799999999999727</v>
      </c>
      <c r="Q34" s="17">
        <v>35.600000000000364</v>
      </c>
      <c r="R34" s="17">
        <v>36.499999999999545</v>
      </c>
      <c r="S34" s="17">
        <v>74.800000000000182</v>
      </c>
      <c r="T34" s="17">
        <v>87.300000000000182</v>
      </c>
      <c r="U34" s="17">
        <v>-27.599999999999909</v>
      </c>
      <c r="V34" s="41"/>
    </row>
    <row r="35" spans="1:22" x14ac:dyDescent="0.3">
      <c r="A35" t="s">
        <v>199</v>
      </c>
      <c r="B35" t="s">
        <v>198</v>
      </c>
      <c r="C35">
        <v>406.2</v>
      </c>
      <c r="D35">
        <v>402.8</v>
      </c>
      <c r="E35">
        <v>444.3</v>
      </c>
      <c r="F35">
        <v>431.7</v>
      </c>
      <c r="G35">
        <v>457.1</v>
      </c>
      <c r="H35">
        <v>506</v>
      </c>
      <c r="I35">
        <v>539.6</v>
      </c>
      <c r="J35">
        <v>578.79999999999995</v>
      </c>
      <c r="K35">
        <v>541.6</v>
      </c>
      <c r="L35">
        <v>585.1</v>
      </c>
      <c r="N35" s="14" t="s">
        <v>358</v>
      </c>
      <c r="O35" s="15"/>
      <c r="P35" s="42">
        <v>6.6769101829864128E-3</v>
      </c>
      <c r="Q35" s="42">
        <v>5.0352894584235527E-3</v>
      </c>
      <c r="R35" s="42">
        <v>5.2356020942407721E-3</v>
      </c>
      <c r="S35" s="42">
        <v>8.8959718373512117E-3</v>
      </c>
      <c r="T35" s="42">
        <v>9.6578274866416861E-3</v>
      </c>
      <c r="U35" s="42">
        <v>-3.2997381729493098E-3</v>
      </c>
      <c r="V35" s="43">
        <v>5.0846870503478631E-3</v>
      </c>
    </row>
    <row r="36" spans="1:22" x14ac:dyDescent="0.3">
      <c r="A36" t="s">
        <v>197</v>
      </c>
      <c r="B36" t="s">
        <v>196</v>
      </c>
      <c r="C36">
        <v>2358.3000000000002</v>
      </c>
      <c r="D36">
        <v>2491.6</v>
      </c>
      <c r="E36">
        <v>2899</v>
      </c>
      <c r="F36">
        <v>2879.5</v>
      </c>
      <c r="G36">
        <v>3148.2</v>
      </c>
      <c r="H36">
        <v>3667.7</v>
      </c>
      <c r="I36">
        <v>5237</v>
      </c>
      <c r="J36">
        <v>5168.5</v>
      </c>
      <c r="K36">
        <v>5413.8</v>
      </c>
      <c r="L36">
        <v>5325.5</v>
      </c>
    </row>
    <row r="37" spans="1:22" x14ac:dyDescent="0.3">
      <c r="A37" t="s">
        <v>195</v>
      </c>
      <c r="B37" t="s">
        <v>194</v>
      </c>
      <c r="C37">
        <v>4133.7</v>
      </c>
      <c r="D37">
        <v>4396.3999999999996</v>
      </c>
      <c r="E37">
        <v>5136.8999999999996</v>
      </c>
      <c r="F37">
        <v>5177.5</v>
      </c>
      <c r="G37">
        <v>5488.8</v>
      </c>
      <c r="H37">
        <v>6083.9</v>
      </c>
      <c r="I37">
        <v>7971.6</v>
      </c>
      <c r="J37">
        <v>7950.5</v>
      </c>
      <c r="K37">
        <v>8209.7999999999993</v>
      </c>
      <c r="L37">
        <v>8404.2000000000007</v>
      </c>
    </row>
    <row r="38" spans="1:22" x14ac:dyDescent="0.3">
      <c r="N38" s="50" t="s">
        <v>340</v>
      </c>
      <c r="O38" s="50"/>
      <c r="P38" s="50"/>
      <c r="Q38" s="50"/>
      <c r="R38" s="50"/>
      <c r="S38" s="50"/>
      <c r="T38" s="50"/>
      <c r="U38" s="50"/>
    </row>
    <row r="39" spans="1:22" x14ac:dyDescent="0.3">
      <c r="A39" t="s">
        <v>193</v>
      </c>
      <c r="N39" s="27" t="s">
        <v>319</v>
      </c>
      <c r="O39" s="28" t="s">
        <v>86</v>
      </c>
      <c r="P39" s="28" t="s">
        <v>85</v>
      </c>
      <c r="Q39" s="28" t="s">
        <v>84</v>
      </c>
      <c r="R39" s="28" t="s">
        <v>83</v>
      </c>
      <c r="S39" s="28" t="s">
        <v>82</v>
      </c>
      <c r="T39" s="28" t="s">
        <v>81</v>
      </c>
      <c r="U39" s="28" t="s">
        <v>80</v>
      </c>
      <c r="V39" s="40" t="s">
        <v>362</v>
      </c>
    </row>
    <row r="40" spans="1:22" x14ac:dyDescent="0.3">
      <c r="A40" t="s">
        <v>192</v>
      </c>
      <c r="B40" t="s">
        <v>191</v>
      </c>
      <c r="C40">
        <v>1134.5</v>
      </c>
      <c r="D40">
        <v>1184.5999999999999</v>
      </c>
      <c r="E40">
        <v>1416.6</v>
      </c>
      <c r="F40">
        <v>1435.5</v>
      </c>
      <c r="G40">
        <v>1485.2</v>
      </c>
      <c r="H40">
        <v>1507.9</v>
      </c>
      <c r="I40">
        <v>1846.1</v>
      </c>
      <c r="J40">
        <v>1808</v>
      </c>
      <c r="K40">
        <v>1684.5</v>
      </c>
      <c r="L40">
        <v>1858</v>
      </c>
      <c r="N40" s="14" t="s">
        <v>343</v>
      </c>
      <c r="O40" s="15">
        <v>85.4</v>
      </c>
      <c r="P40" s="15">
        <v>-56.7</v>
      </c>
      <c r="Q40" s="15">
        <v>177.7</v>
      </c>
      <c r="R40" s="15">
        <v>248.6</v>
      </c>
      <c r="S40" s="15">
        <v>242.2</v>
      </c>
      <c r="T40" s="15">
        <v>191.7</v>
      </c>
      <c r="U40" s="15">
        <v>248.6</v>
      </c>
      <c r="V40" s="41"/>
    </row>
    <row r="41" spans="1:22" x14ac:dyDescent="0.3">
      <c r="A41" t="s">
        <v>190</v>
      </c>
      <c r="B41" t="s">
        <v>189</v>
      </c>
      <c r="C41">
        <v>814.6</v>
      </c>
      <c r="D41">
        <v>841.9</v>
      </c>
      <c r="E41">
        <v>1007.2</v>
      </c>
      <c r="F41">
        <v>1030.5</v>
      </c>
      <c r="G41">
        <v>1066.0999999999999</v>
      </c>
      <c r="H41">
        <v>1050.9000000000001</v>
      </c>
      <c r="I41">
        <v>1298.8</v>
      </c>
      <c r="J41">
        <v>1339.3</v>
      </c>
      <c r="K41">
        <v>1277.0999999999999</v>
      </c>
      <c r="L41">
        <v>1340.7</v>
      </c>
      <c r="N41" s="16" t="s">
        <v>359</v>
      </c>
      <c r="O41" s="17">
        <v>554.79999999999995</v>
      </c>
      <c r="P41" s="17">
        <v>249.5</v>
      </c>
      <c r="Q41" s="17">
        <v>737.3</v>
      </c>
      <c r="R41" s="17">
        <v>992.6</v>
      </c>
      <c r="S41" s="17">
        <v>999.3</v>
      </c>
      <c r="T41" s="17">
        <v>694.7</v>
      </c>
      <c r="U41" s="17">
        <v>953.5</v>
      </c>
      <c r="V41" s="41"/>
    </row>
    <row r="42" spans="1:22" x14ac:dyDescent="0.3">
      <c r="A42" t="s">
        <v>188</v>
      </c>
      <c r="B42" t="s">
        <v>187</v>
      </c>
      <c r="C42">
        <v>45.1</v>
      </c>
      <c r="D42">
        <v>37.9</v>
      </c>
      <c r="E42">
        <v>49.2</v>
      </c>
      <c r="F42">
        <v>58.1</v>
      </c>
      <c r="G42">
        <v>71.400000000000006</v>
      </c>
      <c r="H42">
        <v>86.3</v>
      </c>
      <c r="I42">
        <v>74.900000000000006</v>
      </c>
      <c r="J42">
        <v>76.2</v>
      </c>
      <c r="K42">
        <v>57.6</v>
      </c>
      <c r="L42">
        <v>74.7</v>
      </c>
      <c r="N42" s="14" t="s">
        <v>340</v>
      </c>
      <c r="O42" s="42">
        <v>0.15392934390771451</v>
      </c>
      <c r="P42" s="42">
        <v>-0.22725450901803609</v>
      </c>
      <c r="Q42" s="42">
        <v>0.24101451241014513</v>
      </c>
      <c r="R42" s="42">
        <v>0.25045335482571024</v>
      </c>
      <c r="S42" s="42">
        <v>0.24236965876113278</v>
      </c>
      <c r="T42" s="42">
        <v>0.27594645170577226</v>
      </c>
      <c r="U42" s="42">
        <v>0.2607236497115889</v>
      </c>
      <c r="V42" s="43">
        <v>0.25967992005949797</v>
      </c>
    </row>
    <row r="43" spans="1:22" x14ac:dyDescent="0.3">
      <c r="A43" t="s">
        <v>186</v>
      </c>
      <c r="B43" t="s">
        <v>185</v>
      </c>
      <c r="C43">
        <v>274.8</v>
      </c>
      <c r="D43">
        <v>304.8</v>
      </c>
      <c r="E43">
        <v>360.2</v>
      </c>
      <c r="F43">
        <v>346.9</v>
      </c>
      <c r="G43">
        <v>347.7</v>
      </c>
      <c r="H43">
        <v>370.7</v>
      </c>
      <c r="I43">
        <v>472.4</v>
      </c>
      <c r="J43">
        <v>392.5</v>
      </c>
      <c r="K43">
        <v>349.8</v>
      </c>
      <c r="L43">
        <v>442.6</v>
      </c>
      <c r="N43" s="16" t="s">
        <v>10</v>
      </c>
      <c r="O43" s="17">
        <v>788</v>
      </c>
      <c r="P43" s="17">
        <v>823.7</v>
      </c>
      <c r="Q43" s="17">
        <v>868.7</v>
      </c>
      <c r="R43" s="17">
        <v>1089.3</v>
      </c>
      <c r="S43" s="17">
        <v>1086.9000000000001</v>
      </c>
      <c r="T43" s="17">
        <v>932.4</v>
      </c>
      <c r="U43" s="17">
        <v>1102.9000000000001</v>
      </c>
      <c r="V43" s="41"/>
    </row>
    <row r="44" spans="1:22" x14ac:dyDescent="0.3">
      <c r="A44" t="s">
        <v>184</v>
      </c>
      <c r="B44" t="s">
        <v>183</v>
      </c>
      <c r="C44">
        <v>95.3</v>
      </c>
      <c r="D44">
        <v>579.1</v>
      </c>
      <c r="E44">
        <v>265.39999999999998</v>
      </c>
      <c r="F44">
        <v>194.6</v>
      </c>
      <c r="G44">
        <v>481.6</v>
      </c>
      <c r="H44">
        <v>109</v>
      </c>
      <c r="I44">
        <v>366.1</v>
      </c>
      <c r="J44">
        <v>641</v>
      </c>
      <c r="K44">
        <v>667.6</v>
      </c>
      <c r="L44">
        <v>641.9</v>
      </c>
      <c r="N44" s="14" t="s">
        <v>360</v>
      </c>
      <c r="O44" s="15">
        <v>666.70367700072097</v>
      </c>
      <c r="P44" s="44">
        <v>1010.8895390781563</v>
      </c>
      <c r="Q44" s="44">
        <v>659.3306930693069</v>
      </c>
      <c r="R44" s="44">
        <v>816.48116058835387</v>
      </c>
      <c r="S44" s="44">
        <v>823.46841789252483</v>
      </c>
      <c r="T44" s="44">
        <v>675.10752842953798</v>
      </c>
      <c r="U44" s="44">
        <v>815.34788673308867</v>
      </c>
      <c r="V44" s="43"/>
    </row>
    <row r="45" spans="1:22" x14ac:dyDescent="0.3">
      <c r="A45" t="s">
        <v>182</v>
      </c>
      <c r="B45" t="s">
        <v>181</v>
      </c>
      <c r="C45">
        <v>92.8</v>
      </c>
      <c r="D45">
        <v>326.39999999999998</v>
      </c>
      <c r="E45">
        <v>253.7</v>
      </c>
      <c r="F45">
        <v>170.5</v>
      </c>
      <c r="G45">
        <v>170.7</v>
      </c>
      <c r="H45">
        <v>59.1</v>
      </c>
      <c r="I45">
        <v>313.3</v>
      </c>
      <c r="J45">
        <v>343.5</v>
      </c>
      <c r="K45">
        <v>316.3</v>
      </c>
      <c r="L45">
        <v>36.9</v>
      </c>
    </row>
    <row r="46" spans="1:22" x14ac:dyDescent="0.3">
      <c r="A46" t="s">
        <v>180</v>
      </c>
      <c r="B46" t="s">
        <v>179</v>
      </c>
      <c r="C46" t="s">
        <v>2</v>
      </c>
      <c r="D46" t="s">
        <v>2</v>
      </c>
      <c r="E46">
        <v>6.2</v>
      </c>
      <c r="F46">
        <v>5.9</v>
      </c>
      <c r="G46">
        <v>45.9</v>
      </c>
      <c r="H46">
        <v>49.9</v>
      </c>
      <c r="I46">
        <v>52.8</v>
      </c>
      <c r="J46">
        <v>47.8</v>
      </c>
      <c r="K46">
        <v>51.7</v>
      </c>
      <c r="L46">
        <v>53.9</v>
      </c>
    </row>
    <row r="47" spans="1:22" x14ac:dyDescent="0.3">
      <c r="A47" t="s">
        <v>178</v>
      </c>
      <c r="B47" t="s">
        <v>177</v>
      </c>
      <c r="C47" t="s">
        <v>2</v>
      </c>
      <c r="D47" t="s">
        <v>2</v>
      </c>
      <c r="E47">
        <v>6.2</v>
      </c>
      <c r="F47">
        <v>5.9</v>
      </c>
      <c r="G47">
        <v>4.5</v>
      </c>
      <c r="H47">
        <v>5.6</v>
      </c>
      <c r="I47">
        <v>5.5</v>
      </c>
      <c r="J47">
        <v>5.4</v>
      </c>
      <c r="K47">
        <v>6.3</v>
      </c>
      <c r="L47">
        <v>4.3</v>
      </c>
    </row>
    <row r="48" spans="1:22" x14ac:dyDescent="0.3">
      <c r="A48" t="s">
        <v>176</v>
      </c>
      <c r="B48" t="s">
        <v>175</v>
      </c>
      <c r="C48" t="s">
        <v>2</v>
      </c>
      <c r="D48" t="s">
        <v>2</v>
      </c>
      <c r="E48" t="s">
        <v>2</v>
      </c>
      <c r="F48" t="s">
        <v>2</v>
      </c>
      <c r="G48">
        <v>41.4</v>
      </c>
      <c r="H48">
        <v>44.3</v>
      </c>
      <c r="I48">
        <v>47.3</v>
      </c>
      <c r="J48">
        <v>42.4</v>
      </c>
      <c r="K48">
        <v>45.4</v>
      </c>
      <c r="L48">
        <v>49.6</v>
      </c>
    </row>
    <row r="49" spans="1:12" x14ac:dyDescent="0.3">
      <c r="A49" t="s">
        <v>174</v>
      </c>
      <c r="B49" t="s">
        <v>173</v>
      </c>
      <c r="C49">
        <v>2.5</v>
      </c>
      <c r="D49">
        <v>252.7</v>
      </c>
      <c r="E49">
        <v>5.5</v>
      </c>
      <c r="F49">
        <v>18.2</v>
      </c>
      <c r="G49">
        <v>265</v>
      </c>
      <c r="H49">
        <v>0</v>
      </c>
      <c r="I49">
        <v>0</v>
      </c>
      <c r="J49">
        <v>249.7</v>
      </c>
      <c r="K49">
        <v>299.60000000000002</v>
      </c>
      <c r="L49">
        <v>551.1</v>
      </c>
    </row>
    <row r="50" spans="1:12" x14ac:dyDescent="0.3">
      <c r="A50" t="s">
        <v>172</v>
      </c>
      <c r="B50" t="s">
        <v>171</v>
      </c>
      <c r="C50">
        <v>229.3</v>
      </c>
      <c r="D50">
        <v>240.6</v>
      </c>
      <c r="E50">
        <v>289.8</v>
      </c>
      <c r="F50">
        <v>363.9</v>
      </c>
      <c r="G50">
        <v>287</v>
      </c>
      <c r="H50">
        <v>309.10000000000002</v>
      </c>
      <c r="I50">
        <v>335.7</v>
      </c>
      <c r="J50">
        <v>350.8</v>
      </c>
      <c r="K50">
        <v>347.4</v>
      </c>
      <c r="L50">
        <v>362.7</v>
      </c>
    </row>
    <row r="51" spans="1:12" x14ac:dyDescent="0.3">
      <c r="A51" t="s">
        <v>148</v>
      </c>
      <c r="B51" t="s">
        <v>170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144</v>
      </c>
      <c r="B52" t="s">
        <v>169</v>
      </c>
      <c r="C52">
        <v>5.2</v>
      </c>
      <c r="D52">
        <v>7.8</v>
      </c>
      <c r="E52">
        <v>0.6</v>
      </c>
      <c r="F52">
        <v>0.8</v>
      </c>
      <c r="G52">
        <v>5.0999999999999996</v>
      </c>
      <c r="H52">
        <v>8.5</v>
      </c>
      <c r="I52">
        <v>2.9</v>
      </c>
      <c r="J52">
        <v>9.8000000000000007</v>
      </c>
      <c r="K52">
        <v>6</v>
      </c>
      <c r="L52">
        <v>4.2</v>
      </c>
    </row>
    <row r="53" spans="1:12" x14ac:dyDescent="0.3">
      <c r="A53" t="s">
        <v>168</v>
      </c>
      <c r="B53" t="s">
        <v>167</v>
      </c>
      <c r="C53">
        <v>224.1</v>
      </c>
      <c r="D53">
        <v>232.8</v>
      </c>
      <c r="E53">
        <v>289.2</v>
      </c>
      <c r="F53">
        <v>363.1</v>
      </c>
      <c r="G53">
        <v>281.89999999999998</v>
      </c>
      <c r="H53">
        <v>300.60000000000002</v>
      </c>
      <c r="I53">
        <v>332.8</v>
      </c>
      <c r="J53">
        <v>341</v>
      </c>
      <c r="K53">
        <v>341.4</v>
      </c>
      <c r="L53">
        <v>358.5</v>
      </c>
    </row>
    <row r="54" spans="1:12" x14ac:dyDescent="0.3">
      <c r="A54" t="s">
        <v>166</v>
      </c>
      <c r="B54" t="s">
        <v>165</v>
      </c>
      <c r="C54">
        <v>1459.1</v>
      </c>
      <c r="D54">
        <v>2004.3</v>
      </c>
      <c r="E54">
        <v>1971.8</v>
      </c>
      <c r="F54">
        <v>1994</v>
      </c>
      <c r="G54">
        <v>2253.8000000000002</v>
      </c>
      <c r="H54">
        <v>1926</v>
      </c>
      <c r="I54">
        <v>2547.9</v>
      </c>
      <c r="J54">
        <v>2799.8</v>
      </c>
      <c r="K54">
        <v>2699.5</v>
      </c>
      <c r="L54">
        <v>2862.6</v>
      </c>
    </row>
    <row r="55" spans="1:12" x14ac:dyDescent="0.3">
      <c r="A55" t="s">
        <v>164</v>
      </c>
      <c r="B55" t="s">
        <v>163</v>
      </c>
      <c r="C55">
        <v>963.6</v>
      </c>
      <c r="D55">
        <v>713.4</v>
      </c>
      <c r="E55">
        <v>1316.3</v>
      </c>
      <c r="F55">
        <v>1771.6</v>
      </c>
      <c r="G55">
        <v>1598.2</v>
      </c>
      <c r="H55">
        <v>2168.1</v>
      </c>
      <c r="I55">
        <v>2921.2</v>
      </c>
      <c r="J55">
        <v>2617.1</v>
      </c>
      <c r="K55">
        <v>2774.4</v>
      </c>
      <c r="L55">
        <v>2736</v>
      </c>
    </row>
    <row r="56" spans="1:12" x14ac:dyDescent="0.3">
      <c r="A56" s="4" t="s">
        <v>321</v>
      </c>
      <c r="B56" s="4"/>
      <c r="C56" s="4">
        <f>C55+C44</f>
        <v>1058.9000000000001</v>
      </c>
      <c r="D56" s="4">
        <f t="shared" ref="D56:L56" si="0">D55+D44</f>
        <v>1292.5</v>
      </c>
      <c r="E56" s="4">
        <f t="shared" si="0"/>
        <v>1581.6999999999998</v>
      </c>
      <c r="F56" s="4">
        <f t="shared" si="0"/>
        <v>1966.1999999999998</v>
      </c>
      <c r="G56" s="4">
        <f t="shared" si="0"/>
        <v>2079.8000000000002</v>
      </c>
      <c r="H56" s="4">
        <f t="shared" si="0"/>
        <v>2277.1</v>
      </c>
      <c r="I56" s="4">
        <f t="shared" si="0"/>
        <v>3287.2999999999997</v>
      </c>
      <c r="J56" s="4">
        <f t="shared" si="0"/>
        <v>3258.1</v>
      </c>
      <c r="K56" s="4">
        <f t="shared" si="0"/>
        <v>3442</v>
      </c>
      <c r="L56" s="4">
        <f t="shared" si="0"/>
        <v>3377.9</v>
      </c>
    </row>
    <row r="57" spans="1:12" x14ac:dyDescent="0.3">
      <c r="A57" t="s">
        <v>162</v>
      </c>
      <c r="B57" t="s">
        <v>161</v>
      </c>
      <c r="C57">
        <v>937.6</v>
      </c>
      <c r="D57">
        <v>688.2</v>
      </c>
      <c r="E57">
        <v>1297.5</v>
      </c>
      <c r="F57">
        <v>1756.8</v>
      </c>
      <c r="G57">
        <v>1475.3</v>
      </c>
      <c r="H57">
        <v>2029.2</v>
      </c>
      <c r="I57">
        <v>2774.2</v>
      </c>
      <c r="J57">
        <v>2495.3000000000002</v>
      </c>
      <c r="K57">
        <v>2615.1</v>
      </c>
      <c r="L57">
        <v>2550.8000000000002</v>
      </c>
    </row>
    <row r="58" spans="1:12" x14ac:dyDescent="0.3">
      <c r="A58" t="s">
        <v>160</v>
      </c>
      <c r="B58" t="s">
        <v>159</v>
      </c>
      <c r="C58">
        <v>26</v>
      </c>
      <c r="D58">
        <v>25.2</v>
      </c>
      <c r="E58">
        <v>18.8</v>
      </c>
      <c r="F58">
        <v>14.8</v>
      </c>
      <c r="G58">
        <v>122.9</v>
      </c>
      <c r="H58">
        <v>138.9</v>
      </c>
      <c r="I58">
        <v>147</v>
      </c>
      <c r="J58">
        <v>121.8</v>
      </c>
      <c r="K58">
        <v>159.30000000000001</v>
      </c>
      <c r="L58">
        <v>185.2</v>
      </c>
    </row>
    <row r="59" spans="1:12" x14ac:dyDescent="0.3">
      <c r="A59" t="s">
        <v>158</v>
      </c>
      <c r="B59" t="s">
        <v>157</v>
      </c>
      <c r="C59">
        <v>26</v>
      </c>
      <c r="D59">
        <v>25.2</v>
      </c>
      <c r="E59">
        <v>18.8</v>
      </c>
      <c r="F59">
        <v>14.8</v>
      </c>
      <c r="G59">
        <v>24</v>
      </c>
      <c r="H59">
        <v>22.9</v>
      </c>
      <c r="I59">
        <v>11.7</v>
      </c>
      <c r="J59">
        <v>8.1999999999999993</v>
      </c>
      <c r="K59">
        <v>7</v>
      </c>
      <c r="L59">
        <v>9.1</v>
      </c>
    </row>
    <row r="60" spans="1:12" x14ac:dyDescent="0.3">
      <c r="A60" t="s">
        <v>156</v>
      </c>
      <c r="B60" t="s">
        <v>155</v>
      </c>
      <c r="C60" t="s">
        <v>2</v>
      </c>
      <c r="D60" t="s">
        <v>2</v>
      </c>
      <c r="E60" t="s">
        <v>2</v>
      </c>
      <c r="F60" t="s">
        <v>2</v>
      </c>
      <c r="G60">
        <v>98.9</v>
      </c>
      <c r="H60">
        <v>116</v>
      </c>
      <c r="I60">
        <v>135.30000000000001</v>
      </c>
      <c r="J60">
        <v>113.6</v>
      </c>
      <c r="K60">
        <v>152.30000000000001</v>
      </c>
      <c r="L60">
        <v>176.1</v>
      </c>
    </row>
    <row r="61" spans="1:12" x14ac:dyDescent="0.3">
      <c r="A61" t="s">
        <v>154</v>
      </c>
      <c r="B61" t="s">
        <v>153</v>
      </c>
      <c r="C61">
        <v>745.3</v>
      </c>
      <c r="D61">
        <v>753.2</v>
      </c>
      <c r="E61">
        <v>802.6</v>
      </c>
      <c r="F61">
        <v>456.8</v>
      </c>
      <c r="G61">
        <v>432.8</v>
      </c>
      <c r="H61">
        <v>504.9</v>
      </c>
      <c r="I61">
        <v>578.1</v>
      </c>
      <c r="J61">
        <v>501.4</v>
      </c>
      <c r="K61">
        <v>608</v>
      </c>
      <c r="L61">
        <v>493.3</v>
      </c>
    </row>
    <row r="62" spans="1:12" x14ac:dyDescent="0.3">
      <c r="A62" t="s">
        <v>152</v>
      </c>
      <c r="B62" t="s">
        <v>151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150</v>
      </c>
      <c r="B63" t="s">
        <v>149</v>
      </c>
      <c r="C63">
        <v>637.4</v>
      </c>
      <c r="D63">
        <v>660.9</v>
      </c>
      <c r="E63">
        <v>629.29999999999995</v>
      </c>
      <c r="F63">
        <v>334.7</v>
      </c>
      <c r="G63">
        <v>193.9</v>
      </c>
      <c r="H63">
        <v>215.8</v>
      </c>
      <c r="I63">
        <v>180.2</v>
      </c>
      <c r="J63">
        <v>116.8</v>
      </c>
      <c r="K63">
        <v>127.5</v>
      </c>
      <c r="L63">
        <v>124.9</v>
      </c>
    </row>
    <row r="64" spans="1:12" x14ac:dyDescent="0.3">
      <c r="A64" t="s">
        <v>148</v>
      </c>
      <c r="B64" t="s">
        <v>147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146</v>
      </c>
      <c r="B65" t="s">
        <v>145</v>
      </c>
      <c r="C65">
        <v>107.9</v>
      </c>
      <c r="D65">
        <v>92.3</v>
      </c>
      <c r="E65">
        <v>173.3</v>
      </c>
      <c r="F65">
        <v>122.1</v>
      </c>
      <c r="G65">
        <v>110.3</v>
      </c>
      <c r="H65">
        <v>117.3</v>
      </c>
      <c r="I65">
        <v>238.5</v>
      </c>
      <c r="J65">
        <v>247.9</v>
      </c>
      <c r="K65">
        <v>260</v>
      </c>
      <c r="L65">
        <v>234.8</v>
      </c>
    </row>
    <row r="66" spans="1:12" x14ac:dyDescent="0.3">
      <c r="A66" t="s">
        <v>144</v>
      </c>
      <c r="B66" t="s">
        <v>143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142</v>
      </c>
      <c r="B67" t="s">
        <v>141</v>
      </c>
      <c r="C67">
        <v>0</v>
      </c>
      <c r="D67">
        <v>0</v>
      </c>
      <c r="E67">
        <v>0</v>
      </c>
      <c r="F67">
        <v>0</v>
      </c>
      <c r="G67">
        <v>128.6</v>
      </c>
      <c r="H67">
        <v>171.8</v>
      </c>
      <c r="I67">
        <v>159.4</v>
      </c>
      <c r="J67">
        <v>136.69999999999999</v>
      </c>
      <c r="K67">
        <v>220.5</v>
      </c>
      <c r="L67">
        <v>133.6</v>
      </c>
    </row>
    <row r="68" spans="1:12" x14ac:dyDescent="0.3">
      <c r="A68" t="s">
        <v>140</v>
      </c>
      <c r="B68" t="s">
        <v>139</v>
      </c>
      <c r="C68">
        <v>1708.9</v>
      </c>
      <c r="D68">
        <v>1466.6</v>
      </c>
      <c r="E68">
        <v>2118.9</v>
      </c>
      <c r="F68">
        <v>2228.4</v>
      </c>
      <c r="G68">
        <v>2031</v>
      </c>
      <c r="H68">
        <v>2673</v>
      </c>
      <c r="I68">
        <v>3499.3</v>
      </c>
      <c r="J68">
        <v>3118.5</v>
      </c>
      <c r="K68">
        <v>3382.4</v>
      </c>
      <c r="L68">
        <v>3229.3</v>
      </c>
    </row>
    <row r="69" spans="1:12" x14ac:dyDescent="0.3">
      <c r="A69" t="s">
        <v>138</v>
      </c>
      <c r="B69" t="s">
        <v>137</v>
      </c>
      <c r="C69">
        <v>3168</v>
      </c>
      <c r="D69">
        <v>3470.9</v>
      </c>
      <c r="E69">
        <v>4090.7</v>
      </c>
      <c r="F69">
        <v>4222.3999999999996</v>
      </c>
      <c r="G69">
        <v>4284.8</v>
      </c>
      <c r="H69">
        <v>4599</v>
      </c>
      <c r="I69">
        <v>6047.2</v>
      </c>
      <c r="J69">
        <v>5918.3</v>
      </c>
      <c r="K69">
        <v>6081.9</v>
      </c>
      <c r="L69">
        <v>6091.9</v>
      </c>
    </row>
    <row r="70" spans="1:12" x14ac:dyDescent="0.3">
      <c r="A70" t="s">
        <v>136</v>
      </c>
      <c r="B70" t="s">
        <v>135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134</v>
      </c>
      <c r="B71" t="s">
        <v>133</v>
      </c>
      <c r="C71">
        <v>958.1</v>
      </c>
      <c r="D71">
        <v>976.1</v>
      </c>
      <c r="E71">
        <v>986.7</v>
      </c>
      <c r="F71">
        <v>996.1</v>
      </c>
      <c r="G71">
        <v>998.1</v>
      </c>
      <c r="H71">
        <v>986.2</v>
      </c>
      <c r="I71">
        <v>986.4</v>
      </c>
      <c r="J71">
        <v>1003.4</v>
      </c>
      <c r="K71">
        <v>978.6</v>
      </c>
      <c r="L71">
        <v>964.7</v>
      </c>
    </row>
    <row r="72" spans="1:12" x14ac:dyDescent="0.3">
      <c r="A72" t="s">
        <v>132</v>
      </c>
      <c r="B72" t="s">
        <v>131</v>
      </c>
      <c r="C72">
        <v>124.1</v>
      </c>
      <c r="D72">
        <v>124.1</v>
      </c>
      <c r="E72">
        <v>124.1</v>
      </c>
      <c r="F72">
        <v>124.1</v>
      </c>
      <c r="G72">
        <v>124.1</v>
      </c>
      <c r="H72">
        <v>124.1</v>
      </c>
      <c r="I72">
        <v>124.1</v>
      </c>
      <c r="J72">
        <v>124.1</v>
      </c>
      <c r="K72">
        <v>124.1</v>
      </c>
      <c r="L72">
        <v>124.1</v>
      </c>
    </row>
    <row r="73" spans="1:12" x14ac:dyDescent="0.3">
      <c r="A73" t="s">
        <v>130</v>
      </c>
      <c r="B73" t="s">
        <v>129</v>
      </c>
      <c r="C73">
        <v>834</v>
      </c>
      <c r="D73">
        <v>852</v>
      </c>
      <c r="E73">
        <v>862.6</v>
      </c>
      <c r="F73">
        <v>872</v>
      </c>
      <c r="G73">
        <v>874</v>
      </c>
      <c r="H73">
        <v>862.1</v>
      </c>
      <c r="I73">
        <v>862.3</v>
      </c>
      <c r="J73">
        <v>879.3</v>
      </c>
      <c r="K73">
        <v>854.5</v>
      </c>
      <c r="L73">
        <v>840.6</v>
      </c>
    </row>
    <row r="74" spans="1:12" x14ac:dyDescent="0.3">
      <c r="A74" t="s">
        <v>128</v>
      </c>
      <c r="B74" t="s">
        <v>127</v>
      </c>
      <c r="C74">
        <v>1587</v>
      </c>
      <c r="D74">
        <v>1772</v>
      </c>
      <c r="E74">
        <v>1856.7</v>
      </c>
      <c r="F74">
        <v>2223.9</v>
      </c>
      <c r="G74">
        <v>2425.1</v>
      </c>
      <c r="H74">
        <v>2501</v>
      </c>
      <c r="I74">
        <v>2659.8</v>
      </c>
      <c r="J74">
        <v>3021.8</v>
      </c>
      <c r="K74">
        <v>3134.4</v>
      </c>
      <c r="L74">
        <v>3347.5</v>
      </c>
    </row>
    <row r="75" spans="1:12" x14ac:dyDescent="0.3">
      <c r="A75" t="s">
        <v>126</v>
      </c>
      <c r="B75" t="s">
        <v>125</v>
      </c>
      <c r="C75">
        <v>2277.6</v>
      </c>
      <c r="D75">
        <v>2473.3000000000002</v>
      </c>
      <c r="E75">
        <v>2596.6999999999998</v>
      </c>
      <c r="F75">
        <v>2864.9</v>
      </c>
      <c r="G75">
        <v>2979.1</v>
      </c>
      <c r="H75">
        <v>3349.3</v>
      </c>
      <c r="I75">
        <v>3880.7</v>
      </c>
      <c r="J75">
        <v>4414.6000000000004</v>
      </c>
      <c r="K75">
        <v>4691.8</v>
      </c>
      <c r="L75">
        <v>5151.2</v>
      </c>
    </row>
    <row r="76" spans="1:12" x14ac:dyDescent="0.3">
      <c r="A76" t="s">
        <v>124</v>
      </c>
      <c r="B76" t="s">
        <v>123</v>
      </c>
      <c r="C76">
        <v>-683</v>
      </c>
      <c r="D76">
        <v>-751.9</v>
      </c>
      <c r="E76">
        <v>-680.5</v>
      </c>
      <c r="F76">
        <v>-682</v>
      </c>
      <c r="G76">
        <v>-348.1</v>
      </c>
      <c r="H76">
        <v>-349.6</v>
      </c>
      <c r="I76">
        <v>-282.89999999999998</v>
      </c>
      <c r="J76">
        <v>-364</v>
      </c>
      <c r="K76">
        <v>-408.1</v>
      </c>
      <c r="L76">
        <v>-456.1</v>
      </c>
    </row>
    <row r="77" spans="1:12" x14ac:dyDescent="0.3">
      <c r="A77" t="s">
        <v>122</v>
      </c>
      <c r="B77" t="s">
        <v>121</v>
      </c>
      <c r="C77">
        <v>965.7</v>
      </c>
      <c r="D77">
        <v>925.5</v>
      </c>
      <c r="E77">
        <v>1046.2</v>
      </c>
      <c r="F77">
        <v>955.1</v>
      </c>
      <c r="G77">
        <v>1204</v>
      </c>
      <c r="H77">
        <v>1484.9</v>
      </c>
      <c r="I77">
        <v>1924.4</v>
      </c>
      <c r="J77">
        <v>2032.2</v>
      </c>
      <c r="K77">
        <v>2127.9</v>
      </c>
      <c r="L77">
        <v>2312.3000000000002</v>
      </c>
    </row>
    <row r="78" spans="1:12" x14ac:dyDescent="0.3">
      <c r="A78" t="s">
        <v>120</v>
      </c>
      <c r="B78" t="s">
        <v>119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118</v>
      </c>
      <c r="B79" t="s">
        <v>117</v>
      </c>
      <c r="C79">
        <v>965.7</v>
      </c>
      <c r="D79">
        <v>925.5</v>
      </c>
      <c r="E79">
        <v>1046.2</v>
      </c>
      <c r="F79">
        <v>955.1</v>
      </c>
      <c r="G79">
        <v>1204</v>
      </c>
      <c r="H79">
        <v>1484.9</v>
      </c>
      <c r="I79">
        <v>1924.4</v>
      </c>
      <c r="J79">
        <v>2032.2</v>
      </c>
      <c r="K79">
        <v>2127.9</v>
      </c>
      <c r="L79">
        <v>2312.3000000000002</v>
      </c>
    </row>
    <row r="80" spans="1:12" x14ac:dyDescent="0.3">
      <c r="A80" t="s">
        <v>116</v>
      </c>
      <c r="B80" t="s">
        <v>115</v>
      </c>
      <c r="C80">
        <v>4133.7</v>
      </c>
      <c r="D80">
        <v>4396.3999999999996</v>
      </c>
      <c r="E80">
        <v>5136.8999999999996</v>
      </c>
      <c r="F80">
        <v>5177.5</v>
      </c>
      <c r="G80">
        <v>5488.8</v>
      </c>
      <c r="H80">
        <v>6083.9</v>
      </c>
      <c r="I80">
        <v>7971.6</v>
      </c>
      <c r="J80">
        <v>7950.5</v>
      </c>
      <c r="K80">
        <v>8209.7999999999993</v>
      </c>
      <c r="L80">
        <v>8404.2000000000007</v>
      </c>
    </row>
    <row r="82" spans="1:12" x14ac:dyDescent="0.3">
      <c r="A82" t="s">
        <v>16</v>
      </c>
    </row>
    <row r="83" spans="1:12" x14ac:dyDescent="0.3">
      <c r="A83" t="s">
        <v>15</v>
      </c>
      <c r="B83" t="s">
        <v>14</v>
      </c>
      <c r="C83" t="s">
        <v>13</v>
      </c>
      <c r="D83" t="s">
        <v>13</v>
      </c>
      <c r="E83" t="s">
        <v>13</v>
      </c>
      <c r="F83" t="s">
        <v>13</v>
      </c>
      <c r="G83" t="s">
        <v>13</v>
      </c>
      <c r="H83" t="s">
        <v>13</v>
      </c>
      <c r="I83" t="s">
        <v>13</v>
      </c>
      <c r="J83" t="s">
        <v>13</v>
      </c>
      <c r="K83" t="s">
        <v>13</v>
      </c>
      <c r="L83" t="s">
        <v>13</v>
      </c>
    </row>
    <row r="84" spans="1:12" x14ac:dyDescent="0.3">
      <c r="A84" t="s">
        <v>114</v>
      </c>
      <c r="B84" t="s">
        <v>113</v>
      </c>
      <c r="C84">
        <v>89.967699999999994</v>
      </c>
      <c r="D84">
        <v>88.308899999999994</v>
      </c>
      <c r="E84">
        <v>88.011499999999998</v>
      </c>
      <c r="F84">
        <v>84.723699999999994</v>
      </c>
      <c r="G84">
        <v>83.151200000000003</v>
      </c>
      <c r="H84">
        <v>83.151200000000003</v>
      </c>
      <c r="I84">
        <v>82.605999999999995</v>
      </c>
      <c r="J84">
        <v>80.81</v>
      </c>
      <c r="K84">
        <v>80.495599999999996</v>
      </c>
      <c r="L84">
        <v>79.800399999999996</v>
      </c>
    </row>
    <row r="85" spans="1:12" x14ac:dyDescent="0.3">
      <c r="A85" t="s">
        <v>112</v>
      </c>
      <c r="B85" t="s">
        <v>111</v>
      </c>
      <c r="C85">
        <v>34.158900000000003</v>
      </c>
      <c r="D85">
        <v>35.817799999999998</v>
      </c>
      <c r="E85">
        <v>36.115099999999998</v>
      </c>
      <c r="F85">
        <v>39.402999999999999</v>
      </c>
      <c r="G85">
        <v>40.975499999999997</v>
      </c>
      <c r="H85">
        <v>40.975499999999997</v>
      </c>
      <c r="I85">
        <v>41.520699999999998</v>
      </c>
      <c r="J85">
        <v>43.316600000000001</v>
      </c>
      <c r="K85">
        <v>43.631</v>
      </c>
      <c r="L85">
        <v>44.3262</v>
      </c>
    </row>
    <row r="86" spans="1:12" x14ac:dyDescent="0.3">
      <c r="A86" t="s">
        <v>110</v>
      </c>
      <c r="B86" t="s">
        <v>109</v>
      </c>
      <c r="C86">
        <v>637.4</v>
      </c>
      <c r="D86">
        <v>660.9</v>
      </c>
      <c r="E86">
        <v>629.29999999999995</v>
      </c>
      <c r="F86">
        <v>334.7</v>
      </c>
      <c r="G86">
        <v>193.9</v>
      </c>
      <c r="H86">
        <v>215.8</v>
      </c>
      <c r="I86">
        <v>180.2</v>
      </c>
      <c r="J86">
        <v>116.8</v>
      </c>
      <c r="K86">
        <v>127.5</v>
      </c>
      <c r="L86">
        <v>124.9</v>
      </c>
    </row>
    <row r="87" spans="1:12" x14ac:dyDescent="0.3">
      <c r="A87" t="s">
        <v>108</v>
      </c>
      <c r="B87" t="s">
        <v>107</v>
      </c>
      <c r="C87">
        <v>143</v>
      </c>
      <c r="D87">
        <v>137.80000000000001</v>
      </c>
      <c r="E87">
        <v>189.7</v>
      </c>
      <c r="F87">
        <v>184.8</v>
      </c>
      <c r="G87">
        <v>159.69999999999999</v>
      </c>
      <c r="H87">
        <v>183.6</v>
      </c>
      <c r="I87">
        <v>204.4</v>
      </c>
      <c r="J87">
        <v>174.1</v>
      </c>
      <c r="K87">
        <v>231.3</v>
      </c>
      <c r="L87">
        <v>261</v>
      </c>
    </row>
    <row r="88" spans="1:12" x14ac:dyDescent="0.3">
      <c r="A88" t="s">
        <v>106</v>
      </c>
      <c r="B88" t="s">
        <v>105</v>
      </c>
      <c r="C88">
        <v>26</v>
      </c>
      <c r="D88">
        <v>25.2</v>
      </c>
      <c r="E88">
        <v>25</v>
      </c>
      <c r="F88">
        <v>20.7</v>
      </c>
      <c r="G88">
        <v>28.5</v>
      </c>
      <c r="H88">
        <v>28.5</v>
      </c>
      <c r="I88">
        <v>17.2</v>
      </c>
      <c r="J88">
        <v>13.6</v>
      </c>
      <c r="K88">
        <v>13.3</v>
      </c>
      <c r="L88">
        <v>13.4</v>
      </c>
    </row>
    <row r="89" spans="1:12" x14ac:dyDescent="0.3">
      <c r="A89" t="s">
        <v>104</v>
      </c>
      <c r="B89" t="s">
        <v>103</v>
      </c>
      <c r="C89" t="s">
        <v>2</v>
      </c>
      <c r="D89">
        <v>0.1411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>
        <v>6.3E-2</v>
      </c>
      <c r="L89">
        <v>0</v>
      </c>
    </row>
    <row r="90" spans="1:12" x14ac:dyDescent="0.3">
      <c r="A90" t="s">
        <v>102</v>
      </c>
      <c r="B90" t="s">
        <v>101</v>
      </c>
      <c r="C90">
        <v>2.3698999999999999</v>
      </c>
      <c r="D90">
        <v>1.1152</v>
      </c>
      <c r="E90">
        <v>0.54359999999999997</v>
      </c>
      <c r="F90">
        <v>0.51160000000000005</v>
      </c>
      <c r="G90">
        <v>0.20619999999999999</v>
      </c>
      <c r="H90">
        <v>0.16209999999999999</v>
      </c>
      <c r="I90">
        <v>0.14199999999999999</v>
      </c>
      <c r="J90">
        <v>0.1411</v>
      </c>
      <c r="K90">
        <v>0.2041</v>
      </c>
      <c r="L90">
        <v>6.3E-2</v>
      </c>
    </row>
    <row r="91" spans="1:12" x14ac:dyDescent="0.3">
      <c r="A91" t="s">
        <v>100</v>
      </c>
      <c r="B91" t="s">
        <v>99</v>
      </c>
      <c r="C91">
        <v>900.1</v>
      </c>
      <c r="D91">
        <v>1097.4000000000001</v>
      </c>
      <c r="E91">
        <v>1357.3</v>
      </c>
      <c r="F91">
        <v>1734.2</v>
      </c>
      <c r="G91">
        <v>1826.1</v>
      </c>
      <c r="H91">
        <v>2024.8</v>
      </c>
      <c r="I91">
        <v>3124.6</v>
      </c>
      <c r="J91">
        <v>3090.9</v>
      </c>
      <c r="K91">
        <v>3227</v>
      </c>
      <c r="L91">
        <v>3048.8</v>
      </c>
    </row>
    <row r="92" spans="1:12" x14ac:dyDescent="0.3">
      <c r="A92" t="s">
        <v>98</v>
      </c>
      <c r="B92" t="s">
        <v>97</v>
      </c>
      <c r="C92">
        <v>93.206999999999994</v>
      </c>
      <c r="D92">
        <v>118.5737</v>
      </c>
      <c r="E92">
        <v>129.7362</v>
      </c>
      <c r="F92">
        <v>181.57259999999999</v>
      </c>
      <c r="G92">
        <v>151.6694</v>
      </c>
      <c r="H92">
        <v>136.35939999999999</v>
      </c>
      <c r="I92">
        <v>162.36750000000001</v>
      </c>
      <c r="J92">
        <v>152.09630000000001</v>
      </c>
      <c r="K92">
        <v>151.65190000000001</v>
      </c>
      <c r="L92">
        <v>131.85140000000001</v>
      </c>
    </row>
    <row r="93" spans="1:12" x14ac:dyDescent="0.3">
      <c r="A93" t="s">
        <v>96</v>
      </c>
      <c r="B93" t="s">
        <v>95</v>
      </c>
      <c r="C93">
        <v>6.8700999999999999</v>
      </c>
      <c r="D93">
        <v>1.8438000000000001</v>
      </c>
      <c r="E93">
        <v>-2.6396000000000002</v>
      </c>
      <c r="F93">
        <v>-3.1943000000000001</v>
      </c>
      <c r="G93">
        <v>3.3104</v>
      </c>
      <c r="H93">
        <v>2.6172</v>
      </c>
      <c r="I93">
        <v>-16.770600000000002</v>
      </c>
      <c r="J93">
        <v>-12.7768</v>
      </c>
      <c r="K93">
        <v>-13.742000000000001</v>
      </c>
      <c r="L93">
        <v>-7.3898000000000001</v>
      </c>
    </row>
    <row r="94" spans="1:12" x14ac:dyDescent="0.3">
      <c r="A94" t="s">
        <v>94</v>
      </c>
      <c r="B94" t="s">
        <v>93</v>
      </c>
      <c r="C94">
        <v>1.2168000000000001</v>
      </c>
      <c r="D94">
        <v>0.95040000000000002</v>
      </c>
      <c r="E94">
        <v>1.135</v>
      </c>
      <c r="F94">
        <v>1.1525000000000001</v>
      </c>
      <c r="G94">
        <v>1.0385</v>
      </c>
      <c r="H94">
        <v>1.2544999999999999</v>
      </c>
      <c r="I94">
        <v>1.0732999999999999</v>
      </c>
      <c r="J94">
        <v>0.99360000000000004</v>
      </c>
      <c r="K94">
        <v>1.0357000000000001</v>
      </c>
      <c r="L94">
        <v>1.0754999999999999</v>
      </c>
    </row>
    <row r="95" spans="1:12" x14ac:dyDescent="0.3">
      <c r="A95" t="s">
        <v>92</v>
      </c>
      <c r="B95" t="s">
        <v>91</v>
      </c>
      <c r="C95">
        <v>31.405799999999999</v>
      </c>
      <c r="D95">
        <v>32.077800000000003</v>
      </c>
      <c r="E95">
        <v>34.015999999999998</v>
      </c>
      <c r="F95">
        <v>33.851799999999997</v>
      </c>
      <c r="G95">
        <v>34.438499999999998</v>
      </c>
      <c r="H95">
        <v>38.663699999999999</v>
      </c>
      <c r="I95">
        <v>38.139099999999999</v>
      </c>
      <c r="J95">
        <v>37.783499999999997</v>
      </c>
      <c r="K95">
        <v>39.023299999999999</v>
      </c>
      <c r="L95">
        <v>39.565800000000003</v>
      </c>
    </row>
    <row r="96" spans="1:12" x14ac:dyDescent="0.3">
      <c r="A96" t="s">
        <v>90</v>
      </c>
      <c r="B96" t="s">
        <v>89</v>
      </c>
      <c r="C96">
        <v>25000</v>
      </c>
      <c r="D96">
        <v>25000</v>
      </c>
      <c r="E96">
        <v>30000</v>
      </c>
      <c r="F96">
        <v>32000</v>
      </c>
      <c r="G96">
        <v>32000</v>
      </c>
      <c r="H96">
        <v>32000</v>
      </c>
      <c r="I96">
        <v>36000</v>
      </c>
      <c r="J96">
        <v>36000</v>
      </c>
      <c r="K96">
        <v>35000</v>
      </c>
      <c r="L96">
        <v>35000</v>
      </c>
    </row>
  </sheetData>
  <mergeCells count="3">
    <mergeCell ref="N20:U20"/>
    <mergeCell ref="N38:U38"/>
    <mergeCell ref="N29:V29"/>
  </mergeCells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4E19-9CE4-4742-83A0-A583A9F7A55F}">
  <dimension ref="A1:R67"/>
  <sheetViews>
    <sheetView zoomScale="68" workbookViewId="0">
      <selection activeCell="A2" sqref="A2"/>
    </sheetView>
  </sheetViews>
  <sheetFormatPr defaultRowHeight="14.4" x14ac:dyDescent="0.3"/>
  <cols>
    <col min="1" max="1" width="38.77734375" bestFit="1" customWidth="1"/>
    <col min="2" max="6" width="10.5546875" bestFit="1" customWidth="1"/>
    <col min="7" max="8" width="11.33203125" customWidth="1"/>
    <col min="9" max="9" width="12.6640625" bestFit="1" customWidth="1"/>
    <col min="10" max="10" width="18.33203125" bestFit="1" customWidth="1"/>
    <col min="11" max="17" width="10.33203125" customWidth="1"/>
  </cols>
  <sheetData>
    <row r="1" spans="1:8" x14ac:dyDescent="0.3">
      <c r="A1" s="2" t="s">
        <v>262</v>
      </c>
      <c r="B1" s="2" t="s">
        <v>86</v>
      </c>
      <c r="C1" s="2" t="s">
        <v>85</v>
      </c>
      <c r="D1" s="2" t="s">
        <v>84</v>
      </c>
      <c r="E1" s="2" t="s">
        <v>83</v>
      </c>
      <c r="F1" s="2" t="s">
        <v>82</v>
      </c>
      <c r="G1" s="2" t="s">
        <v>81</v>
      </c>
      <c r="H1" s="2" t="s">
        <v>80</v>
      </c>
    </row>
    <row r="2" spans="1:8" x14ac:dyDescent="0.3">
      <c r="A2" s="11" t="s">
        <v>87</v>
      </c>
      <c r="B2" s="1"/>
      <c r="C2" s="1"/>
      <c r="D2" s="1"/>
      <c r="E2" s="1"/>
      <c r="F2" s="1"/>
      <c r="G2" s="1"/>
      <c r="H2" s="1"/>
    </row>
    <row r="3" spans="1:8" x14ac:dyDescent="0.3">
      <c r="A3" s="1" t="s">
        <v>79</v>
      </c>
      <c r="B3" s="1" t="s">
        <v>78</v>
      </c>
      <c r="C3" s="1" t="s">
        <v>77</v>
      </c>
      <c r="D3" s="1" t="s">
        <v>76</v>
      </c>
      <c r="E3" s="1" t="s">
        <v>75</v>
      </c>
      <c r="F3" s="1" t="s">
        <v>74</v>
      </c>
      <c r="G3" s="1" t="s">
        <v>73</v>
      </c>
      <c r="H3" s="1" t="s">
        <v>72</v>
      </c>
    </row>
    <row r="4" spans="1:8" x14ac:dyDescent="0.3">
      <c r="A4" t="s">
        <v>302</v>
      </c>
    </row>
    <row r="5" spans="1:8" x14ac:dyDescent="0.3">
      <c r="A5" t="s">
        <v>313</v>
      </c>
      <c r="B5">
        <v>467.4</v>
      </c>
      <c r="C5">
        <v>303.60000000000002</v>
      </c>
      <c r="D5">
        <v>555.9</v>
      </c>
      <c r="E5">
        <v>740.1</v>
      </c>
      <c r="F5">
        <v>757.1</v>
      </c>
      <c r="G5">
        <v>503</v>
      </c>
      <c r="H5">
        <v>704.9</v>
      </c>
    </row>
    <row r="6" spans="1:8" x14ac:dyDescent="0.3">
      <c r="A6" t="s">
        <v>312</v>
      </c>
      <c r="B6">
        <v>181</v>
      </c>
      <c r="C6">
        <v>179</v>
      </c>
      <c r="D6">
        <v>205.3</v>
      </c>
      <c r="E6">
        <v>244.1</v>
      </c>
      <c r="F6">
        <v>290.7</v>
      </c>
      <c r="G6">
        <v>298.39999999999998</v>
      </c>
      <c r="H6">
        <v>312.2</v>
      </c>
    </row>
    <row r="7" spans="1:8" x14ac:dyDescent="0.3">
      <c r="A7" t="s">
        <v>311</v>
      </c>
      <c r="B7">
        <v>-65.599999999999994</v>
      </c>
      <c r="C7">
        <v>272.39999999999998</v>
      </c>
      <c r="D7">
        <v>84.8</v>
      </c>
      <c r="E7">
        <v>110.6</v>
      </c>
      <c r="F7">
        <v>-11.1</v>
      </c>
      <c r="G7">
        <v>35.9</v>
      </c>
      <c r="H7">
        <v>-27.2</v>
      </c>
    </row>
    <row r="8" spans="1:8" x14ac:dyDescent="0.3">
      <c r="A8" t="s">
        <v>310</v>
      </c>
      <c r="B8">
        <v>34.299999999999997</v>
      </c>
      <c r="C8">
        <v>34.5</v>
      </c>
      <c r="D8">
        <v>24</v>
      </c>
      <c r="E8">
        <v>37.200000000000003</v>
      </c>
      <c r="F8">
        <v>47.4</v>
      </c>
      <c r="G8">
        <v>22.3</v>
      </c>
      <c r="H8">
        <v>28.7</v>
      </c>
    </row>
    <row r="9" spans="1:8" x14ac:dyDescent="0.3">
      <c r="A9" t="s">
        <v>309</v>
      </c>
      <c r="B9">
        <v>-32.700000000000003</v>
      </c>
      <c r="C9">
        <v>-216.9</v>
      </c>
      <c r="D9">
        <v>9.3000000000000007</v>
      </c>
      <c r="E9">
        <v>2.6</v>
      </c>
      <c r="F9">
        <v>18.399999999999999</v>
      </c>
      <c r="G9">
        <v>-24.4</v>
      </c>
      <c r="H9">
        <v>-18.5</v>
      </c>
    </row>
    <row r="10" spans="1:8" x14ac:dyDescent="0.3">
      <c r="A10" t="s">
        <v>308</v>
      </c>
      <c r="B10">
        <v>-67.2</v>
      </c>
      <c r="C10">
        <v>454.8</v>
      </c>
      <c r="D10">
        <v>51.5</v>
      </c>
      <c r="E10">
        <v>70.8</v>
      </c>
      <c r="F10">
        <v>-76.900000000000006</v>
      </c>
      <c r="G10">
        <v>38</v>
      </c>
      <c r="H10">
        <v>-37.4</v>
      </c>
    </row>
    <row r="11" spans="1:8" x14ac:dyDescent="0.3">
      <c r="A11" t="s">
        <v>307</v>
      </c>
      <c r="B11">
        <v>-124.9</v>
      </c>
      <c r="C11">
        <v>-8.5</v>
      </c>
      <c r="D11">
        <v>-94.7</v>
      </c>
      <c r="E11">
        <v>-48</v>
      </c>
      <c r="F11">
        <v>-75.7</v>
      </c>
      <c r="G11">
        <v>-11.3</v>
      </c>
      <c r="H11">
        <v>-51.1</v>
      </c>
    </row>
    <row r="12" spans="1:8" x14ac:dyDescent="0.3">
      <c r="A12" t="s">
        <v>306</v>
      </c>
      <c r="B12">
        <v>-62.5</v>
      </c>
      <c r="C12">
        <v>-42.2</v>
      </c>
      <c r="D12">
        <v>14.7</v>
      </c>
      <c r="E12">
        <v>-113.2</v>
      </c>
      <c r="F12">
        <v>-22.1</v>
      </c>
      <c r="G12">
        <v>-16.7</v>
      </c>
      <c r="H12">
        <v>-107.3</v>
      </c>
    </row>
    <row r="13" spans="1:8" x14ac:dyDescent="0.3">
      <c r="A13" t="s">
        <v>305</v>
      </c>
      <c r="B13">
        <v>-70.5</v>
      </c>
      <c r="C13">
        <v>-18.100000000000001</v>
      </c>
      <c r="D13">
        <v>-6</v>
      </c>
      <c r="E13">
        <v>-182.7</v>
      </c>
      <c r="F13">
        <v>-140.69999999999999</v>
      </c>
      <c r="G13">
        <v>111.7</v>
      </c>
      <c r="H13">
        <v>-90.7</v>
      </c>
    </row>
    <row r="14" spans="1:8" x14ac:dyDescent="0.3">
      <c r="A14" t="s">
        <v>304</v>
      </c>
      <c r="B14">
        <v>43.6</v>
      </c>
      <c r="C14">
        <v>46.4</v>
      </c>
      <c r="D14">
        <v>-68.2</v>
      </c>
      <c r="E14">
        <v>255.2</v>
      </c>
      <c r="F14">
        <v>68.2</v>
      </c>
      <c r="G14">
        <v>-87.6</v>
      </c>
      <c r="H14">
        <v>106.7</v>
      </c>
    </row>
    <row r="15" spans="1:8" x14ac:dyDescent="0.3">
      <c r="A15" t="s">
        <v>303</v>
      </c>
      <c r="B15">
        <v>-35.5</v>
      </c>
      <c r="C15">
        <v>5.4</v>
      </c>
      <c r="D15">
        <v>-35.200000000000003</v>
      </c>
      <c r="E15">
        <v>-7.3</v>
      </c>
      <c r="F15">
        <v>18.899999999999999</v>
      </c>
      <c r="G15">
        <v>-18.7</v>
      </c>
      <c r="H15">
        <v>40.200000000000003</v>
      </c>
    </row>
    <row r="16" spans="1:8" x14ac:dyDescent="0.3">
      <c r="A16" t="s">
        <v>276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8" x14ac:dyDescent="0.3">
      <c r="A17" t="s">
        <v>302</v>
      </c>
      <c r="B17">
        <v>457.9</v>
      </c>
      <c r="C17">
        <v>746.5</v>
      </c>
      <c r="D17">
        <v>751.3</v>
      </c>
      <c r="E17">
        <v>1046.8</v>
      </c>
      <c r="F17">
        <v>961</v>
      </c>
      <c r="G17">
        <v>826</v>
      </c>
      <c r="H17">
        <v>938.8</v>
      </c>
    </row>
    <row r="19" spans="1:18" x14ac:dyDescent="0.3">
      <c r="A19" t="s">
        <v>286</v>
      </c>
    </row>
    <row r="20" spans="1:18" x14ac:dyDescent="0.3">
      <c r="A20" t="s">
        <v>301</v>
      </c>
      <c r="B20">
        <v>-247.2</v>
      </c>
      <c r="C20">
        <v>-249.4</v>
      </c>
      <c r="D20">
        <v>-209.4</v>
      </c>
      <c r="E20">
        <v>-271</v>
      </c>
      <c r="F20">
        <v>-296.2</v>
      </c>
      <c r="G20">
        <v>-284.10000000000002</v>
      </c>
      <c r="H20">
        <v>-239.2</v>
      </c>
    </row>
    <row r="21" spans="1:18" x14ac:dyDescent="0.3">
      <c r="A21" t="s">
        <v>300</v>
      </c>
      <c r="B21">
        <v>9.4</v>
      </c>
      <c r="C21">
        <v>7.8</v>
      </c>
      <c r="D21">
        <v>9.1999999999999993</v>
      </c>
      <c r="E21">
        <v>1.1000000000000001</v>
      </c>
      <c r="F21">
        <v>2.2999999999999998</v>
      </c>
      <c r="G21">
        <v>1</v>
      </c>
      <c r="H21">
        <v>0.6</v>
      </c>
    </row>
    <row r="22" spans="1:18" x14ac:dyDescent="0.3">
      <c r="A22" t="s">
        <v>299</v>
      </c>
      <c r="B22">
        <v>9.4</v>
      </c>
      <c r="C22">
        <v>7.8</v>
      </c>
      <c r="D22">
        <v>9.1999999999999993</v>
      </c>
      <c r="E22">
        <v>1.1000000000000001</v>
      </c>
      <c r="F22">
        <v>2.2999999999999998</v>
      </c>
      <c r="G22">
        <v>1</v>
      </c>
      <c r="H22">
        <v>0.6</v>
      </c>
    </row>
    <row r="23" spans="1:18" x14ac:dyDescent="0.3">
      <c r="A23" t="s">
        <v>298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 s="50" t="s">
        <v>361</v>
      </c>
      <c r="K23" s="50"/>
      <c r="L23" s="50"/>
      <c r="M23" s="50"/>
      <c r="N23" s="50"/>
      <c r="O23" s="50"/>
      <c r="P23" s="50"/>
      <c r="Q23" s="50"/>
    </row>
    <row r="24" spans="1:18" x14ac:dyDescent="0.3">
      <c r="A24" t="s">
        <v>297</v>
      </c>
      <c r="B24">
        <v>-256.60000000000002</v>
      </c>
      <c r="C24">
        <v>-257.2</v>
      </c>
      <c r="D24">
        <v>-218.6</v>
      </c>
      <c r="E24">
        <v>-272.10000000000002</v>
      </c>
      <c r="F24">
        <v>-298.5</v>
      </c>
      <c r="G24">
        <v>-285.10000000000002</v>
      </c>
      <c r="H24">
        <v>-239.8</v>
      </c>
      <c r="J24" s="1" t="s">
        <v>319</v>
      </c>
      <c r="K24" s="1" t="s">
        <v>86</v>
      </c>
      <c r="L24" s="1" t="s">
        <v>85</v>
      </c>
      <c r="M24" s="1" t="s">
        <v>84</v>
      </c>
      <c r="N24" s="1" t="s">
        <v>83</v>
      </c>
      <c r="O24" s="1" t="s">
        <v>82</v>
      </c>
      <c r="P24" s="1" t="s">
        <v>81</v>
      </c>
      <c r="Q24" s="1" t="s">
        <v>80</v>
      </c>
      <c r="R24" s="23" t="s">
        <v>362</v>
      </c>
    </row>
    <row r="25" spans="1:18" x14ac:dyDescent="0.3">
      <c r="A25" s="4" t="s">
        <v>296</v>
      </c>
      <c r="B25" s="4">
        <v>-226.7</v>
      </c>
      <c r="C25" s="4">
        <v>-219.4</v>
      </c>
      <c r="D25" s="4">
        <v>-201.4</v>
      </c>
      <c r="E25" s="4">
        <v>-255</v>
      </c>
      <c r="F25" s="4">
        <v>-278.10000000000002</v>
      </c>
      <c r="G25" s="4">
        <v>-265.3</v>
      </c>
      <c r="H25" s="4">
        <v>-208.8</v>
      </c>
      <c r="J25" t="s">
        <v>353</v>
      </c>
      <c r="K25">
        <f t="shared" ref="K25:Q25" si="0">B25</f>
        <v>-226.7</v>
      </c>
      <c r="L25">
        <f t="shared" si="0"/>
        <v>-219.4</v>
      </c>
      <c r="M25">
        <f t="shared" si="0"/>
        <v>-201.4</v>
      </c>
      <c r="N25">
        <f t="shared" si="0"/>
        <v>-255</v>
      </c>
      <c r="O25">
        <f t="shared" si="0"/>
        <v>-278.10000000000002</v>
      </c>
      <c r="P25">
        <f t="shared" si="0"/>
        <v>-265.3</v>
      </c>
      <c r="Q25">
        <f t="shared" si="0"/>
        <v>-208.8</v>
      </c>
      <c r="R25" s="4"/>
    </row>
    <row r="26" spans="1:18" x14ac:dyDescent="0.3">
      <c r="A26" t="s">
        <v>295</v>
      </c>
      <c r="B26">
        <v>-29.9</v>
      </c>
      <c r="C26">
        <v>-37.799999999999997</v>
      </c>
      <c r="D26">
        <v>-17.2</v>
      </c>
      <c r="E26">
        <v>-17.100000000000001</v>
      </c>
      <c r="F26">
        <v>-20.399999999999999</v>
      </c>
      <c r="G26">
        <v>-19.8</v>
      </c>
      <c r="H26">
        <v>-31</v>
      </c>
      <c r="J26" t="s">
        <v>354</v>
      </c>
      <c r="K26" s="12">
        <f>K25/'Income Statement'!B4</f>
        <v>-3.166643385947758E-2</v>
      </c>
      <c r="L26" s="12">
        <f>L25/'Income Statement'!C4</f>
        <v>-3.1032092898261691E-2</v>
      </c>
      <c r="M26" s="12">
        <f>M25/'Income Statement'!D4</f>
        <v>-2.8889048267948074E-2</v>
      </c>
      <c r="N26" s="12">
        <f>N25/'Income Statement'!E4</f>
        <v>-3.0327176718242692E-2</v>
      </c>
      <c r="O26" s="12">
        <f>O25/'Income Statement'!F4</f>
        <v>-3.0765656632703864E-2</v>
      </c>
      <c r="P26" s="12">
        <f>P25/'Income Statement'!G4</f>
        <v>-3.1718135408820826E-2</v>
      </c>
      <c r="Q26" s="12">
        <f>Q25/'Income Statement'!H4</f>
        <v>-2.3847322315748598E-2</v>
      </c>
      <c r="R26" s="20">
        <f>-AVERAGE(Table14[[#This Row],[Column6]:[Column8]])</f>
        <v>2.8777038119091092E-2</v>
      </c>
    </row>
    <row r="27" spans="1:18" x14ac:dyDescent="0.3">
      <c r="A27" t="s">
        <v>294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18" x14ac:dyDescent="0.3">
      <c r="A28" t="s">
        <v>293</v>
      </c>
      <c r="B28" t="s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18" x14ac:dyDescent="0.3">
      <c r="A29" t="s">
        <v>292</v>
      </c>
      <c r="B29" t="s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18" x14ac:dyDescent="0.3">
      <c r="A30" t="s">
        <v>291</v>
      </c>
      <c r="B30">
        <v>-3.8</v>
      </c>
      <c r="C30">
        <v>-6.5</v>
      </c>
      <c r="D30">
        <v>-350.4</v>
      </c>
      <c r="E30">
        <v>-1477.6</v>
      </c>
      <c r="F30">
        <v>-39.5</v>
      </c>
      <c r="G30">
        <v>-224.9</v>
      </c>
      <c r="H30">
        <v>-3.8</v>
      </c>
    </row>
    <row r="31" spans="1:18" x14ac:dyDescent="0.3">
      <c r="A31" t="s">
        <v>290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18" x14ac:dyDescent="0.3">
      <c r="A32" t="s">
        <v>289</v>
      </c>
      <c r="B32">
        <v>-3.8</v>
      </c>
      <c r="C32">
        <v>-6.5</v>
      </c>
      <c r="D32">
        <v>-350.4</v>
      </c>
      <c r="E32">
        <v>-1477.6</v>
      </c>
      <c r="F32">
        <v>-39.5</v>
      </c>
      <c r="G32">
        <v>-224.9</v>
      </c>
      <c r="H32">
        <v>-3.8</v>
      </c>
    </row>
    <row r="33" spans="1:8" x14ac:dyDescent="0.3">
      <c r="A33" t="s">
        <v>288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287</v>
      </c>
      <c r="B34">
        <v>18.5</v>
      </c>
      <c r="C34">
        <v>4.9000000000000004</v>
      </c>
      <c r="D34">
        <v>5.6</v>
      </c>
      <c r="E34">
        <v>10.7</v>
      </c>
      <c r="F34">
        <v>3</v>
      </c>
      <c r="G34">
        <v>50</v>
      </c>
      <c r="H34">
        <v>-0.1</v>
      </c>
    </row>
    <row r="35" spans="1:8" x14ac:dyDescent="0.3">
      <c r="A35" t="s">
        <v>276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286</v>
      </c>
      <c r="B36">
        <v>-232.5</v>
      </c>
      <c r="C36">
        <v>-251</v>
      </c>
      <c r="D36">
        <v>-554.20000000000005</v>
      </c>
      <c r="E36">
        <v>-1737.9</v>
      </c>
      <c r="F36">
        <v>-332.7</v>
      </c>
      <c r="G36">
        <v>-459</v>
      </c>
      <c r="H36">
        <v>-243.1</v>
      </c>
    </row>
    <row r="38" spans="1:8" x14ac:dyDescent="0.3">
      <c r="A38" t="s">
        <v>275</v>
      </c>
    </row>
    <row r="39" spans="1:8" x14ac:dyDescent="0.3">
      <c r="A39" t="s">
        <v>285</v>
      </c>
      <c r="B39">
        <v>-175</v>
      </c>
      <c r="C39">
        <v>-189.7</v>
      </c>
      <c r="D39">
        <v>-196.8</v>
      </c>
      <c r="E39">
        <v>-220.6</v>
      </c>
      <c r="F39">
        <v>-238.9</v>
      </c>
      <c r="G39">
        <v>-256.7</v>
      </c>
      <c r="H39">
        <v>-277.5</v>
      </c>
    </row>
    <row r="40" spans="1:8" x14ac:dyDescent="0.3">
      <c r="A40" t="s">
        <v>284</v>
      </c>
      <c r="B40">
        <v>409.3</v>
      </c>
      <c r="C40">
        <v>-23.9</v>
      </c>
      <c r="D40">
        <v>113.1</v>
      </c>
      <c r="E40">
        <v>1037.5</v>
      </c>
      <c r="F40">
        <v>28.3</v>
      </c>
      <c r="G40">
        <v>102.4</v>
      </c>
      <c r="H40">
        <v>-37.9</v>
      </c>
    </row>
    <row r="41" spans="1:8" x14ac:dyDescent="0.3">
      <c r="A41" t="s">
        <v>283</v>
      </c>
      <c r="B41">
        <v>-77.599999999999994</v>
      </c>
      <c r="C41">
        <v>-5.3</v>
      </c>
      <c r="D41">
        <v>-110.4</v>
      </c>
      <c r="E41">
        <v>259.2</v>
      </c>
      <c r="F41">
        <v>34.6</v>
      </c>
      <c r="G41">
        <v>-36.6</v>
      </c>
      <c r="H41">
        <v>-269</v>
      </c>
    </row>
    <row r="42" spans="1:8" x14ac:dyDescent="0.3">
      <c r="A42" t="s">
        <v>282</v>
      </c>
      <c r="B42">
        <v>493.3</v>
      </c>
      <c r="C42">
        <v>0</v>
      </c>
      <c r="D42">
        <v>993.7</v>
      </c>
      <c r="E42">
        <v>791.7</v>
      </c>
      <c r="F42">
        <v>0</v>
      </c>
      <c r="G42">
        <v>394.9</v>
      </c>
      <c r="H42">
        <v>539.20000000000005</v>
      </c>
    </row>
    <row r="43" spans="1:8" x14ac:dyDescent="0.3">
      <c r="A43" t="s">
        <v>281</v>
      </c>
      <c r="B43">
        <v>-6.4</v>
      </c>
      <c r="C43">
        <v>-18.600000000000001</v>
      </c>
      <c r="D43">
        <v>-770.2</v>
      </c>
      <c r="E43">
        <v>-13.4</v>
      </c>
      <c r="F43">
        <v>-6.3</v>
      </c>
      <c r="G43">
        <v>-255.9</v>
      </c>
      <c r="H43">
        <v>-308.10000000000002</v>
      </c>
    </row>
    <row r="44" spans="1:8" x14ac:dyDescent="0.3">
      <c r="A44" t="s">
        <v>280</v>
      </c>
      <c r="B44">
        <v>-392.9</v>
      </c>
      <c r="C44">
        <v>-237.7</v>
      </c>
      <c r="D44">
        <v>-104.3</v>
      </c>
      <c r="E44">
        <v>-180.9</v>
      </c>
      <c r="F44">
        <v>-379.5</v>
      </c>
      <c r="G44">
        <v>-137.5</v>
      </c>
      <c r="H44">
        <v>-247.5</v>
      </c>
    </row>
    <row r="45" spans="1:8" x14ac:dyDescent="0.3">
      <c r="A45" t="s">
        <v>279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278</v>
      </c>
      <c r="B46">
        <v>-392.9</v>
      </c>
      <c r="C46">
        <v>-237.7</v>
      </c>
      <c r="D46">
        <v>-104.3</v>
      </c>
      <c r="E46">
        <v>-180.9</v>
      </c>
      <c r="F46">
        <v>-379.5</v>
      </c>
      <c r="G46">
        <v>-137.5</v>
      </c>
      <c r="H46">
        <v>-247.5</v>
      </c>
    </row>
    <row r="47" spans="1:8" x14ac:dyDescent="0.3">
      <c r="A47" t="s">
        <v>277</v>
      </c>
      <c r="B47">
        <v>-49.5</v>
      </c>
      <c r="C47">
        <v>-19</v>
      </c>
      <c r="D47">
        <v>-19.7</v>
      </c>
      <c r="E47">
        <v>-31.7</v>
      </c>
      <c r="F47">
        <v>-25.1</v>
      </c>
      <c r="G47">
        <v>-25.4</v>
      </c>
      <c r="H47">
        <v>-13.2</v>
      </c>
    </row>
    <row r="48" spans="1:8" x14ac:dyDescent="0.3">
      <c r="A48" t="s">
        <v>276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275</v>
      </c>
      <c r="B49">
        <v>-208.1</v>
      </c>
      <c r="C49">
        <v>-470.3</v>
      </c>
      <c r="D49">
        <v>-207.7</v>
      </c>
      <c r="E49">
        <v>604.29999999999995</v>
      </c>
      <c r="F49">
        <v>-615.20000000000005</v>
      </c>
      <c r="G49">
        <v>-317.2</v>
      </c>
      <c r="H49">
        <v>-576.1</v>
      </c>
    </row>
    <row r="51" spans="1:8" x14ac:dyDescent="0.3">
      <c r="A51" t="s">
        <v>274</v>
      </c>
      <c r="B51">
        <v>-9.6999999999999993</v>
      </c>
      <c r="C51">
        <v>-3.5</v>
      </c>
      <c r="D51">
        <v>9.1999999999999993</v>
      </c>
      <c r="E51">
        <v>-2.8</v>
      </c>
      <c r="F51">
        <v>-8.6</v>
      </c>
      <c r="G51">
        <v>-2</v>
      </c>
      <c r="H51">
        <v>-5.5</v>
      </c>
    </row>
    <row r="53" spans="1:8" x14ac:dyDescent="0.3">
      <c r="A53" t="s">
        <v>273</v>
      </c>
      <c r="B53">
        <v>7.6</v>
      </c>
      <c r="C53">
        <v>21.7</v>
      </c>
      <c r="D53">
        <v>-1.4</v>
      </c>
      <c r="E53">
        <v>-89.6</v>
      </c>
      <c r="F53">
        <v>4.5</v>
      </c>
      <c r="G53">
        <v>47.8</v>
      </c>
      <c r="H53">
        <v>114.1</v>
      </c>
    </row>
    <row r="55" spans="1:8" x14ac:dyDescent="0.3">
      <c r="A55" t="s">
        <v>272</v>
      </c>
      <c r="B55">
        <v>153.5</v>
      </c>
      <c r="C55">
        <v>155</v>
      </c>
      <c r="D55">
        <v>203.4</v>
      </c>
      <c r="E55">
        <v>253.4</v>
      </c>
      <c r="F55">
        <v>204.8</v>
      </c>
      <c r="G55">
        <v>234.9</v>
      </c>
      <c r="H55">
        <v>226.8</v>
      </c>
    </row>
    <row r="56" spans="1:8" x14ac:dyDescent="0.3">
      <c r="A56" t="s">
        <v>271</v>
      </c>
      <c r="B56">
        <v>54.9</v>
      </c>
      <c r="C56">
        <v>74.3</v>
      </c>
      <c r="D56">
        <v>69.599999999999994</v>
      </c>
      <c r="E56">
        <v>62.8</v>
      </c>
      <c r="F56">
        <v>80.900000000000006</v>
      </c>
      <c r="G56">
        <v>109.9</v>
      </c>
      <c r="H56">
        <v>111.8</v>
      </c>
    </row>
    <row r="58" spans="1:8" x14ac:dyDescent="0.3">
      <c r="A58" t="s">
        <v>16</v>
      </c>
    </row>
    <row r="59" spans="1:8" x14ac:dyDescent="0.3">
      <c r="A59" t="s">
        <v>12</v>
      </c>
      <c r="B59">
        <v>899.1</v>
      </c>
      <c r="C59">
        <v>1014.9</v>
      </c>
      <c r="D59">
        <v>1077.5999999999999</v>
      </c>
      <c r="E59">
        <v>1371.6</v>
      </c>
      <c r="F59">
        <v>1435.5</v>
      </c>
      <c r="G59">
        <v>1154.9000000000001</v>
      </c>
      <c r="H59">
        <v>1431.1</v>
      </c>
    </row>
    <row r="60" spans="1:8" x14ac:dyDescent="0.3">
      <c r="A60" t="s">
        <v>270</v>
      </c>
      <c r="B60">
        <v>12.558999999999999</v>
      </c>
      <c r="C60">
        <v>14.354799999999999</v>
      </c>
      <c r="D60">
        <v>15.4572</v>
      </c>
      <c r="E60">
        <v>16.3125</v>
      </c>
      <c r="F60">
        <v>15.880699999999999</v>
      </c>
      <c r="G60">
        <v>13.807499999999999</v>
      </c>
      <c r="H60">
        <v>16.344799999999999</v>
      </c>
    </row>
    <row r="61" spans="1:8" x14ac:dyDescent="0.3">
      <c r="A61" t="s">
        <v>269</v>
      </c>
      <c r="B61">
        <v>3.8</v>
      </c>
      <c r="C61">
        <v>6.5</v>
      </c>
      <c r="D61">
        <v>350.4</v>
      </c>
      <c r="E61">
        <v>1477.6</v>
      </c>
      <c r="F61">
        <v>39.5</v>
      </c>
      <c r="G61">
        <v>224.9</v>
      </c>
      <c r="H61">
        <v>3.8</v>
      </c>
    </row>
    <row r="62" spans="1:8" x14ac:dyDescent="0.3">
      <c r="A62" t="s">
        <v>268</v>
      </c>
      <c r="B62">
        <v>231.2</v>
      </c>
      <c r="C62">
        <v>527.1</v>
      </c>
      <c r="D62">
        <v>549.9</v>
      </c>
      <c r="E62">
        <v>791.8</v>
      </c>
      <c r="F62">
        <v>682.9</v>
      </c>
      <c r="G62">
        <v>560.70000000000005</v>
      </c>
      <c r="H62">
        <v>730</v>
      </c>
    </row>
    <row r="63" spans="1:8" x14ac:dyDescent="0.3">
      <c r="A63" t="s">
        <v>267</v>
      </c>
      <c r="B63">
        <v>280.69510000000002</v>
      </c>
      <c r="C63" t="s">
        <v>2</v>
      </c>
      <c r="D63">
        <v>603.029</v>
      </c>
      <c r="E63">
        <v>844.41819999999996</v>
      </c>
      <c r="F63">
        <v>746.61670000000004</v>
      </c>
      <c r="G63">
        <v>646.86239999999998</v>
      </c>
      <c r="H63">
        <v>816.49530000000004</v>
      </c>
    </row>
    <row r="64" spans="1:8" x14ac:dyDescent="0.3">
      <c r="A64" t="s">
        <v>266</v>
      </c>
      <c r="B64">
        <v>649.9</v>
      </c>
      <c r="C64">
        <v>511</v>
      </c>
      <c r="D64">
        <v>672.2</v>
      </c>
      <c r="E64">
        <v>1830.4</v>
      </c>
      <c r="F64">
        <v>713.5</v>
      </c>
      <c r="G64">
        <v>664.1</v>
      </c>
      <c r="H64">
        <v>692.7</v>
      </c>
    </row>
    <row r="65" spans="1:8" x14ac:dyDescent="0.3">
      <c r="A65" t="s">
        <v>265</v>
      </c>
      <c r="B65">
        <v>2.6482999999999999</v>
      </c>
      <c r="C65">
        <v>6.2750000000000004</v>
      </c>
      <c r="D65">
        <v>6.5934999999999997</v>
      </c>
      <c r="E65">
        <v>9.5512999999999995</v>
      </c>
      <c r="F65">
        <v>8.3689</v>
      </c>
      <c r="G65">
        <v>6.9480000000000004</v>
      </c>
      <c r="H65">
        <v>9.0795999999999992</v>
      </c>
    </row>
    <row r="66" spans="1:8" x14ac:dyDescent="0.3">
      <c r="A66" t="s">
        <v>264</v>
      </c>
      <c r="B66">
        <v>33.541800000000002</v>
      </c>
      <c r="C66">
        <v>20.973700000000001</v>
      </c>
      <c r="D66">
        <v>23.5246</v>
      </c>
      <c r="E66">
        <v>22.674499999999998</v>
      </c>
      <c r="F66">
        <v>21.627800000000001</v>
      </c>
      <c r="G66">
        <v>29.096299999999999</v>
      </c>
      <c r="H66">
        <v>20.761900000000001</v>
      </c>
    </row>
    <row r="67" spans="1:8" x14ac:dyDescent="0.3">
      <c r="A67" t="s">
        <v>263</v>
      </c>
      <c r="B67">
        <v>0.97970000000000002</v>
      </c>
      <c r="C67">
        <v>2.4588000000000001</v>
      </c>
      <c r="D67">
        <v>1.3514999999999999</v>
      </c>
      <c r="E67">
        <v>1.4144000000000001</v>
      </c>
      <c r="F67">
        <v>1.2693000000000001</v>
      </c>
      <c r="G67">
        <v>1.6420999999999999</v>
      </c>
      <c r="H67">
        <v>1.3318000000000001</v>
      </c>
    </row>
  </sheetData>
  <mergeCells count="1">
    <mergeCell ref="J23:Q23"/>
  </mergeCells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AD1C-93B5-4144-86DE-80D21FCFA7EF}">
  <dimension ref="A1:P18"/>
  <sheetViews>
    <sheetView topLeftCell="F1" zoomScale="115" zoomScaleNormal="115" workbookViewId="0">
      <selection activeCell="H8" sqref="H8"/>
    </sheetView>
  </sheetViews>
  <sheetFormatPr defaultRowHeight="14.4" x14ac:dyDescent="0.3"/>
  <cols>
    <col min="1" max="1" width="37.88671875" bestFit="1" customWidth="1"/>
    <col min="2" max="2" width="10.33203125" customWidth="1"/>
    <col min="3" max="3" width="8.21875" bestFit="1" customWidth="1"/>
    <col min="4" max="6" width="10.33203125" customWidth="1"/>
    <col min="7" max="7" width="1.88671875" customWidth="1"/>
    <col min="8" max="8" width="10.33203125" customWidth="1"/>
    <col min="9" max="9" width="37.88671875" bestFit="1" customWidth="1"/>
    <col min="10" max="10" width="11.5546875" bestFit="1" customWidth="1"/>
    <col min="12" max="12" width="10.6640625" customWidth="1"/>
    <col min="13" max="14" width="10.33203125" customWidth="1"/>
    <col min="15" max="15" width="10.77734375" customWidth="1"/>
    <col min="16" max="17" width="10.33203125" customWidth="1"/>
  </cols>
  <sheetData>
    <row r="1" spans="1:16" x14ac:dyDescent="0.3">
      <c r="A1" s="27" t="s">
        <v>329</v>
      </c>
      <c r="B1" s="28" t="s">
        <v>330</v>
      </c>
      <c r="C1" s="28" t="s">
        <v>331</v>
      </c>
      <c r="D1" s="28" t="s">
        <v>332</v>
      </c>
      <c r="E1" s="28" t="s">
        <v>333</v>
      </c>
      <c r="F1" s="29" t="s">
        <v>334</v>
      </c>
      <c r="L1" s="50"/>
      <c r="M1" s="50"/>
      <c r="N1" s="50"/>
      <c r="O1" s="50"/>
    </row>
    <row r="2" spans="1:16" x14ac:dyDescent="0.3">
      <c r="A2" s="14" t="s">
        <v>335</v>
      </c>
      <c r="B2" s="25">
        <f>J12</f>
        <v>0.04</v>
      </c>
      <c r="C2" s="25">
        <f>B2*(1+$J$12)</f>
        <v>4.1600000000000005E-2</v>
      </c>
      <c r="D2" s="25">
        <f t="shared" ref="D2:F2" si="0">C2*(1+$J$12)</f>
        <v>4.3264000000000004E-2</v>
      </c>
      <c r="E2" s="25">
        <f t="shared" si="0"/>
        <v>4.4994560000000003E-2</v>
      </c>
      <c r="F2" s="25">
        <f t="shared" si="0"/>
        <v>4.6794342400000008E-2</v>
      </c>
      <c r="H2" t="s">
        <v>363</v>
      </c>
      <c r="I2" s="1"/>
      <c r="J2" s="1"/>
      <c r="L2" s="1"/>
      <c r="M2" s="1"/>
      <c r="N2" s="1"/>
      <c r="O2" s="1"/>
    </row>
    <row r="3" spans="1:16" x14ac:dyDescent="0.3">
      <c r="A3" s="14" t="s">
        <v>336</v>
      </c>
      <c r="B3" s="25">
        <f>$J$13</f>
        <v>0.11977326887267394</v>
      </c>
      <c r="C3" s="25">
        <f t="shared" ref="C3:F3" si="1">$J$13</f>
        <v>0.11977326887267394</v>
      </c>
      <c r="D3" s="25">
        <f t="shared" si="1"/>
        <v>0.11977326887267394</v>
      </c>
      <c r="E3" s="25">
        <f t="shared" si="1"/>
        <v>0.11977326887267394</v>
      </c>
      <c r="F3" s="25">
        <f t="shared" si="1"/>
        <v>0.11977326887267394</v>
      </c>
      <c r="H3" t="s">
        <v>411</v>
      </c>
      <c r="J3" s="3"/>
      <c r="O3" s="9"/>
    </row>
    <row r="4" spans="1:16" x14ac:dyDescent="0.3">
      <c r="A4" s="16" t="s">
        <v>337</v>
      </c>
      <c r="B4" s="26">
        <f>J14</f>
        <v>2.1513735796097309E-2</v>
      </c>
      <c r="C4" s="26">
        <f>B4*(1+$J$13)</f>
        <v>2.4090506258058943E-2</v>
      </c>
      <c r="D4" s="26">
        <f t="shared" ref="D4:F4" si="2">C4*(1+$J$13)</f>
        <v>2.6975904941384275E-2</v>
      </c>
      <c r="E4" s="26">
        <f t="shared" si="2"/>
        <v>3.020689725701239E-2</v>
      </c>
      <c r="F4" s="26">
        <f t="shared" si="2"/>
        <v>3.3824876083985773E-2</v>
      </c>
      <c r="H4" t="s">
        <v>365</v>
      </c>
      <c r="J4" s="3"/>
      <c r="O4" s="9"/>
    </row>
    <row r="5" spans="1:16" x14ac:dyDescent="0.3">
      <c r="A5" s="14" t="s">
        <v>338</v>
      </c>
      <c r="B5" s="25">
        <f>J15</f>
        <v>2.8777038119091092E-2</v>
      </c>
      <c r="C5" s="25">
        <f>B5*(1+$J$15)</f>
        <v>2.9605156041998714E-2</v>
      </c>
      <c r="D5" s="25">
        <f t="shared" ref="D5:F5" si="3">C5*(1+$J$15)</f>
        <v>3.045710474594095E-2</v>
      </c>
      <c r="E5" s="25">
        <f t="shared" si="3"/>
        <v>3.1333570010212045E-2</v>
      </c>
      <c r="F5" s="25">
        <f t="shared" si="3"/>
        <v>3.2235257348803122E-2</v>
      </c>
      <c r="H5" t="s">
        <v>366</v>
      </c>
      <c r="J5" s="24"/>
      <c r="O5" s="9"/>
    </row>
    <row r="6" spans="1:16" x14ac:dyDescent="0.3">
      <c r="A6" s="16" t="s">
        <v>339</v>
      </c>
      <c r="B6" s="26">
        <f>J16</f>
        <v>5.0846870503478631E-3</v>
      </c>
      <c r="C6" s="26">
        <f>B6*(1+$J$16)</f>
        <v>5.1105410927478378E-3</v>
      </c>
      <c r="D6" s="26">
        <f t="shared" ref="D6:F6" si="4">C6*(1+$J$16)</f>
        <v>5.136526594862403E-3</v>
      </c>
      <c r="E6" s="26">
        <f t="shared" si="4"/>
        <v>5.162644225123067E-3</v>
      </c>
      <c r="F6" s="26">
        <f t="shared" si="4"/>
        <v>5.1888946553601033E-3</v>
      </c>
      <c r="H6" t="s">
        <v>367</v>
      </c>
      <c r="J6" s="12"/>
      <c r="O6" s="9"/>
    </row>
    <row r="7" spans="1:16" x14ac:dyDescent="0.3">
      <c r="A7" s="14" t="s">
        <v>340</v>
      </c>
      <c r="B7" s="25">
        <f>$J$17</f>
        <v>0.25967992005949797</v>
      </c>
      <c r="C7" s="25">
        <f t="shared" ref="C7:F7" si="5">$J$17</f>
        <v>0.25967992005949797</v>
      </c>
      <c r="D7" s="25">
        <f t="shared" si="5"/>
        <v>0.25967992005949797</v>
      </c>
      <c r="E7" s="25">
        <f t="shared" si="5"/>
        <v>0.25967992005949797</v>
      </c>
      <c r="F7" s="25">
        <f t="shared" si="5"/>
        <v>0.25967992005949797</v>
      </c>
      <c r="H7" t="s">
        <v>364</v>
      </c>
      <c r="J7" s="12"/>
    </row>
    <row r="8" spans="1:16" x14ac:dyDescent="0.3">
      <c r="C8" s="7"/>
      <c r="D8" s="7"/>
      <c r="E8" s="7"/>
      <c r="F8" s="7"/>
      <c r="H8" t="s">
        <v>399</v>
      </c>
      <c r="J8" s="12"/>
    </row>
    <row r="9" spans="1:16" x14ac:dyDescent="0.3">
      <c r="B9" s="7"/>
      <c r="C9" s="7"/>
      <c r="D9" s="7"/>
      <c r="E9" s="7"/>
      <c r="F9" s="7"/>
    </row>
    <row r="10" spans="1:16" x14ac:dyDescent="0.3">
      <c r="L10" s="1"/>
      <c r="M10" s="1"/>
      <c r="N10" s="1"/>
      <c r="O10" s="1"/>
    </row>
    <row r="11" spans="1:16" x14ac:dyDescent="0.3">
      <c r="I11" s="27" t="s">
        <v>329</v>
      </c>
      <c r="J11" s="28" t="s">
        <v>341</v>
      </c>
      <c r="O11" s="9"/>
    </row>
    <row r="12" spans="1:16" x14ac:dyDescent="0.3">
      <c r="I12" s="14" t="s">
        <v>335</v>
      </c>
      <c r="J12" s="25">
        <v>0.04</v>
      </c>
      <c r="M12" s="1"/>
      <c r="N12" s="1"/>
      <c r="O12" s="1"/>
      <c r="P12" s="1"/>
    </row>
    <row r="13" spans="1:16" x14ac:dyDescent="0.3">
      <c r="I13" s="14" t="s">
        <v>336</v>
      </c>
      <c r="J13" s="25">
        <v>0.11977326887267394</v>
      </c>
      <c r="O13" s="9"/>
    </row>
    <row r="14" spans="1:16" x14ac:dyDescent="0.3">
      <c r="I14" s="16" t="s">
        <v>337</v>
      </c>
      <c r="J14" s="26">
        <v>2.1513735796097309E-2</v>
      </c>
      <c r="O14" s="9"/>
    </row>
    <row r="15" spans="1:16" x14ac:dyDescent="0.3">
      <c r="I15" s="14" t="s">
        <v>338</v>
      </c>
      <c r="J15" s="25">
        <v>2.8777038119091092E-2</v>
      </c>
    </row>
    <row r="16" spans="1:16" x14ac:dyDescent="0.3">
      <c r="I16" s="16" t="s">
        <v>339</v>
      </c>
      <c r="J16" s="26">
        <v>5.0846870503478631E-3</v>
      </c>
    </row>
    <row r="17" spans="9:10" x14ac:dyDescent="0.3">
      <c r="I17" s="14" t="s">
        <v>340</v>
      </c>
      <c r="J17" s="25">
        <v>0.25967992005949797</v>
      </c>
    </row>
    <row r="18" spans="9:10" x14ac:dyDescent="0.3">
      <c r="I18" s="48" t="s">
        <v>400</v>
      </c>
      <c r="J18" s="7">
        <v>2.5000000000000001E-2</v>
      </c>
    </row>
  </sheetData>
  <mergeCells count="1">
    <mergeCell ref="L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41EF-FB9D-4744-AF97-31E68B8E5410}">
  <dimension ref="A1:G10"/>
  <sheetViews>
    <sheetView workbookViewId="0">
      <selection activeCell="M8" sqref="M8"/>
    </sheetView>
  </sheetViews>
  <sheetFormatPr defaultRowHeight="14.4" x14ac:dyDescent="0.3"/>
  <cols>
    <col min="1" max="1" width="30.109375" bestFit="1" customWidth="1"/>
    <col min="9" max="9" width="10.33203125" customWidth="1"/>
  </cols>
  <sheetData>
    <row r="1" spans="1:7" x14ac:dyDescent="0.3">
      <c r="A1" s="31" t="s">
        <v>344</v>
      </c>
      <c r="B1" s="31" t="s">
        <v>345</v>
      </c>
      <c r="C1" s="31" t="s">
        <v>346</v>
      </c>
      <c r="D1" s="31" t="s">
        <v>347</v>
      </c>
      <c r="E1" s="31" t="s">
        <v>348</v>
      </c>
      <c r="F1" s="31" t="s">
        <v>349</v>
      </c>
    </row>
    <row r="2" spans="1:7" x14ac:dyDescent="0.3">
      <c r="A2" s="30" t="s">
        <v>87</v>
      </c>
      <c r="B2" s="32"/>
      <c r="C2" s="32"/>
      <c r="D2" s="32"/>
      <c r="E2" s="32"/>
      <c r="F2" s="32"/>
    </row>
    <row r="3" spans="1:7" x14ac:dyDescent="0.3">
      <c r="A3" s="19" t="s">
        <v>71</v>
      </c>
      <c r="B3" s="19">
        <f>'Income Statement'!H4*(1+Assumptions!B2)</f>
        <v>9105.9280000000017</v>
      </c>
      <c r="C3" s="19">
        <f>B3*(1+Assumptions!C2)</f>
        <v>9484.7346048000018</v>
      </c>
      <c r="D3" s="19">
        <f>C3*(1+Assumptions!D2)</f>
        <v>9895.0821627420682</v>
      </c>
      <c r="E3" s="19">
        <f>D3*(1+Assumptions!E2)</f>
        <v>10340.307030818494</v>
      </c>
      <c r="F3" s="19">
        <f>E3*(1+Assumptions!F2)</f>
        <v>10824.174898539741</v>
      </c>
    </row>
    <row r="4" spans="1:7" x14ac:dyDescent="0.3">
      <c r="A4" s="18" t="s">
        <v>10</v>
      </c>
      <c r="B4" s="18">
        <f>B3*Assumptions!B3</f>
        <v>1090.6467626792103</v>
      </c>
      <c r="C4" s="18">
        <f>C3*Assumptions!C3</f>
        <v>1136.0176680066654</v>
      </c>
      <c r="D4" s="18">
        <f>D3*Assumptions!D3</f>
        <v>1185.1663363953057</v>
      </c>
      <c r="E4" s="18">
        <f>E3*Assumptions!E3</f>
        <v>1238.4923742282242</v>
      </c>
      <c r="F4" s="18">
        <f>F3*Assumptions!F3</f>
        <v>1296.4468104476484</v>
      </c>
    </row>
    <row r="5" spans="1:7" x14ac:dyDescent="0.3">
      <c r="A5" s="19" t="s">
        <v>350</v>
      </c>
      <c r="B5" s="19">
        <f>B4*Assumptions!B7</f>
        <v>283.21906414568758</v>
      </c>
      <c r="C5" s="19">
        <f>C4*Assumptions!C7</f>
        <v>295.00097721414818</v>
      </c>
      <c r="D5" s="19">
        <f>D4*Assumptions!D7</f>
        <v>307.76389949234107</v>
      </c>
      <c r="E5" s="19">
        <f>E4*Assumptions!E7</f>
        <v>321.61160073388311</v>
      </c>
      <c r="F5" s="19">
        <f>F4*Assumptions!F7</f>
        <v>336.66120409843649</v>
      </c>
    </row>
    <row r="6" spans="1:7" x14ac:dyDescent="0.3">
      <c r="A6" s="18" t="s">
        <v>351</v>
      </c>
      <c r="B6" s="18">
        <f>B4-B5</f>
        <v>807.42769853352274</v>
      </c>
      <c r="C6" s="18">
        <f t="shared" ref="C6:F6" si="0">C4-C5</f>
        <v>841.01669079251724</v>
      </c>
      <c r="D6" s="18">
        <f t="shared" si="0"/>
        <v>877.40243690296461</v>
      </c>
      <c r="E6" s="18">
        <f t="shared" si="0"/>
        <v>916.88077349434116</v>
      </c>
      <c r="F6" s="18">
        <f t="shared" si="0"/>
        <v>959.785606349212</v>
      </c>
    </row>
    <row r="7" spans="1:7" x14ac:dyDescent="0.3">
      <c r="A7" s="19" t="s">
        <v>352</v>
      </c>
      <c r="B7" s="19">
        <f>B3*Assumptions!B4</f>
        <v>195.90252917028482</v>
      </c>
      <c r="C7" s="19">
        <f>C3*Assumptions!C4</f>
        <v>228.49205835296266</v>
      </c>
      <c r="D7" s="19">
        <f>D3*Assumptions!D4</f>
        <v>266.92879580931714</v>
      </c>
      <c r="E7" s="19">
        <f>E3*Assumptions!E4</f>
        <v>312.34859208589711</v>
      </c>
      <c r="F7" s="19">
        <f>F3*Assumptions!F4</f>
        <v>366.12637465449603</v>
      </c>
    </row>
    <row r="8" spans="1:7" x14ac:dyDescent="0.3">
      <c r="A8" s="18" t="s">
        <v>368</v>
      </c>
      <c r="B8" s="18">
        <f>B3*Assumptions!B5</f>
        <v>262.04163716569894</v>
      </c>
      <c r="C8" s="18">
        <f>C3*Assumptions!C5</f>
        <v>280.79704799204904</v>
      </c>
      <c r="D8" s="18">
        <f>D3*Assumptions!D5</f>
        <v>301.37555390032708</v>
      </c>
      <c r="E8" s="18">
        <f>E3*Assumptions!E5</f>
        <v>323.99873427723912</v>
      </c>
      <c r="F8" s="18">
        <f>F3*Assumptions!F5</f>
        <v>348.92006344288347</v>
      </c>
    </row>
    <row r="9" spans="1:7" x14ac:dyDescent="0.3">
      <c r="A9" s="19" t="s">
        <v>369</v>
      </c>
      <c r="B9" s="19">
        <f>B3*Assumptions!B6</f>
        <v>46.300794183000022</v>
      </c>
      <c r="C9" s="19">
        <f>C3*Assumptions!C6</f>
        <v>48.472125951637835</v>
      </c>
      <c r="D9" s="19">
        <f>D3*Assumptions!D6</f>
        <v>50.826352687273221</v>
      </c>
      <c r="E9" s="19">
        <f>E3*Assumptions!E6</f>
        <v>53.383326378654544</v>
      </c>
      <c r="F9" s="19">
        <f>F3*Assumptions!F6</f>
        <v>56.16550327971585</v>
      </c>
    </row>
    <row r="10" spans="1:7" x14ac:dyDescent="0.3">
      <c r="A10" s="18" t="s">
        <v>370</v>
      </c>
      <c r="B10" s="18">
        <f>B6+B7-B8-B9</f>
        <v>694.98779635510869</v>
      </c>
      <c r="C10" s="18">
        <f t="shared" ref="C10:F10" si="1">C6+C7-C8-C9</f>
        <v>740.23957520179295</v>
      </c>
      <c r="D10" s="18">
        <f t="shared" si="1"/>
        <v>792.12932612468137</v>
      </c>
      <c r="E10" s="18">
        <f t="shared" si="1"/>
        <v>851.8473049243446</v>
      </c>
      <c r="F10" s="18">
        <f t="shared" si="1"/>
        <v>920.82641428110867</v>
      </c>
      <c r="G10" s="4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6A40-EC6F-40E7-9B22-BCEA712E56EB}">
  <dimension ref="A1:J33"/>
  <sheetViews>
    <sheetView workbookViewId="0">
      <selection activeCell="C33" sqref="C33"/>
    </sheetView>
  </sheetViews>
  <sheetFormatPr defaultRowHeight="14.4" x14ac:dyDescent="0.3"/>
  <cols>
    <col min="1" max="1" width="30.33203125" bestFit="1" customWidth="1"/>
    <col min="2" max="2" width="8.5546875" bestFit="1" customWidth="1"/>
    <col min="7" max="7" width="13.44140625" bestFit="1" customWidth="1"/>
    <col min="9" max="9" width="48.77734375" bestFit="1" customWidth="1"/>
    <col min="16" max="16" width="10.109375" bestFit="1" customWidth="1"/>
  </cols>
  <sheetData>
    <row r="1" spans="1:10" x14ac:dyDescent="0.3">
      <c r="A1" s="31" t="s">
        <v>379</v>
      </c>
      <c r="B1" s="31" t="s">
        <v>345</v>
      </c>
      <c r="C1" s="31" t="s">
        <v>346</v>
      </c>
      <c r="D1" s="31" t="s">
        <v>347</v>
      </c>
      <c r="E1" s="31" t="s">
        <v>348</v>
      </c>
      <c r="F1" s="31" t="s">
        <v>349</v>
      </c>
      <c r="G1" s="46" t="s">
        <v>375</v>
      </c>
    </row>
    <row r="2" spans="1:10" x14ac:dyDescent="0.3">
      <c r="A2" t="s">
        <v>376</v>
      </c>
      <c r="B2" s="47">
        <f>'FCFF Forecast'!B10</f>
        <v>694.98779635510869</v>
      </c>
      <c r="C2">
        <f>'FCFF Forecast'!C10</f>
        <v>740.23957520179295</v>
      </c>
      <c r="D2">
        <f>'FCFF Forecast'!D10</f>
        <v>792.12932612468137</v>
      </c>
      <c r="E2">
        <f>'FCFF Forecast'!E10</f>
        <v>851.8473049243446</v>
      </c>
      <c r="F2">
        <f>'FCFF Forecast'!F10</f>
        <v>920.82641428110867</v>
      </c>
      <c r="G2" s="47">
        <f>F2*(1+B10)/B9-B10</f>
        <v>11865.88865325864</v>
      </c>
      <c r="I2" t="s">
        <v>371</v>
      </c>
      <c r="J2" s="7">
        <f>J4+J6*J8</f>
        <v>9.1700000000000004E-2</v>
      </c>
    </row>
    <row r="3" spans="1:10" x14ac:dyDescent="0.3">
      <c r="A3" t="s">
        <v>380</v>
      </c>
      <c r="B3">
        <f>1/(1+$B$9)</f>
        <v>0.92631813390685347</v>
      </c>
      <c r="C3">
        <f>1/(1+$B$9)^2</f>
        <v>0.8580652852046754</v>
      </c>
      <c r="D3">
        <f>1/(1+$B$9)^3</f>
        <v>0.79484143376104699</v>
      </c>
      <c r="E3">
        <f>1/(1+$B$9)^4</f>
        <v>0.7362760336733809</v>
      </c>
      <c r="F3">
        <f>1/(1+$B$9)^5</f>
        <v>0.68202584155266588</v>
      </c>
      <c r="G3" s="1">
        <f>G2*F3</f>
        <v>8092.8426945089532</v>
      </c>
    </row>
    <row r="4" spans="1:10" x14ac:dyDescent="0.3">
      <c r="A4" t="s">
        <v>377</v>
      </c>
      <c r="B4">
        <f>B2*B3</f>
        <v>643.77979860770063</v>
      </c>
      <c r="C4">
        <f t="shared" ref="C4:F4" si="0">C2*C3</f>
        <v>635.17388221531428</v>
      </c>
      <c r="D4">
        <f t="shared" si="0"/>
        <v>629.61720930111369</v>
      </c>
      <c r="E4">
        <f t="shared" si="0"/>
        <v>627.19475496505549</v>
      </c>
      <c r="F4">
        <f t="shared" si="0"/>
        <v>628.0274101239969</v>
      </c>
      <c r="I4" s="1" t="s">
        <v>372</v>
      </c>
      <c r="J4" s="7">
        <v>4.0099999999999997E-2</v>
      </c>
    </row>
    <row r="5" spans="1:10" x14ac:dyDescent="0.3">
      <c r="A5" t="s">
        <v>378</v>
      </c>
      <c r="B5" s="1">
        <f>B4+C4+D4+E4+F4</f>
        <v>3163.7930552131811</v>
      </c>
    </row>
    <row r="6" spans="1:10" x14ac:dyDescent="0.3">
      <c r="I6" s="1" t="s">
        <v>373</v>
      </c>
      <c r="J6">
        <v>0.86</v>
      </c>
    </row>
    <row r="8" spans="1:10" x14ac:dyDescent="0.3">
      <c r="A8" s="1" t="s">
        <v>383</v>
      </c>
      <c r="B8" s="1" t="s">
        <v>385</v>
      </c>
      <c r="I8" s="1" t="s">
        <v>374</v>
      </c>
      <c r="J8" s="24">
        <v>0.06</v>
      </c>
    </row>
    <row r="9" spans="1:10" x14ac:dyDescent="0.3">
      <c r="A9" t="s">
        <v>381</v>
      </c>
      <c r="B9" s="12">
        <f>(C32*J2)+(C33*C25*(1-Assumptions!J17))</f>
        <v>7.9542722306843616E-2</v>
      </c>
    </row>
    <row r="10" spans="1:10" x14ac:dyDescent="0.3">
      <c r="A10" t="s">
        <v>382</v>
      </c>
      <c r="B10" s="7">
        <f>Assumptions!J18</f>
        <v>2.5000000000000001E-2</v>
      </c>
    </row>
    <row r="12" spans="1:10" x14ac:dyDescent="0.3">
      <c r="A12" s="1" t="s">
        <v>384</v>
      </c>
      <c r="B12" s="1" t="s">
        <v>385</v>
      </c>
    </row>
    <row r="13" spans="1:10" x14ac:dyDescent="0.3">
      <c r="A13" t="s">
        <v>386</v>
      </c>
      <c r="B13">
        <f>B5+G3</f>
        <v>11256.635749722134</v>
      </c>
    </row>
    <row r="14" spans="1:10" x14ac:dyDescent="0.3">
      <c r="A14" t="s">
        <v>387</v>
      </c>
      <c r="B14">
        <f>'Balance Sheet'!L56-'Balance Sheet'!L7</f>
        <v>3048.8</v>
      </c>
    </row>
    <row r="15" spans="1:10" x14ac:dyDescent="0.3">
      <c r="A15" t="s">
        <v>389</v>
      </c>
      <c r="B15">
        <f>B13-B14</f>
        <v>8207.8357497221332</v>
      </c>
    </row>
    <row r="16" spans="1:10" x14ac:dyDescent="0.3">
      <c r="A16" t="s">
        <v>388</v>
      </c>
      <c r="B16">
        <f>B15/'Balance Sheet'!L84</f>
        <v>102.85456902123465</v>
      </c>
      <c r="C16" t="s">
        <v>410</v>
      </c>
    </row>
    <row r="19" spans="1:3" x14ac:dyDescent="0.3">
      <c r="A19" s="1" t="s">
        <v>384</v>
      </c>
      <c r="B19" s="1">
        <v>2023</v>
      </c>
      <c r="C19" s="1">
        <v>2024</v>
      </c>
    </row>
    <row r="20" spans="1:3" x14ac:dyDescent="0.3">
      <c r="A20" t="s">
        <v>390</v>
      </c>
      <c r="C20">
        <f>'Income Statement'!H19</f>
        <v>117</v>
      </c>
    </row>
    <row r="21" spans="1:3" x14ac:dyDescent="0.3">
      <c r="A21" t="s">
        <v>391</v>
      </c>
      <c r="B21">
        <f>'Balance Sheet'!K56</f>
        <v>3442</v>
      </c>
      <c r="C21">
        <f>'Balance Sheet'!L56</f>
        <v>3377.9</v>
      </c>
    </row>
    <row r="22" spans="1:3" x14ac:dyDescent="0.3">
      <c r="A22" t="s">
        <v>392</v>
      </c>
      <c r="C22">
        <f>(B21+C21)/2</f>
        <v>3409.95</v>
      </c>
    </row>
    <row r="25" spans="1:3" x14ac:dyDescent="0.3">
      <c r="A25" t="s">
        <v>393</v>
      </c>
      <c r="C25" s="12">
        <f>C20/C22</f>
        <v>3.4311353538908199E-2</v>
      </c>
    </row>
    <row r="27" spans="1:3" x14ac:dyDescent="0.3">
      <c r="A27" t="s">
        <v>118</v>
      </c>
      <c r="C27">
        <f>C28+C29</f>
        <v>18421.0726</v>
      </c>
    </row>
    <row r="28" spans="1:3" x14ac:dyDescent="0.3">
      <c r="A28" t="s">
        <v>394</v>
      </c>
      <c r="C28">
        <v>15043.1726</v>
      </c>
    </row>
    <row r="29" spans="1:3" x14ac:dyDescent="0.3">
      <c r="A29" t="s">
        <v>395</v>
      </c>
      <c r="C29">
        <f>'Balance Sheet'!L56</f>
        <v>3377.9</v>
      </c>
    </row>
    <row r="31" spans="1:3" x14ac:dyDescent="0.3">
      <c r="A31" t="s">
        <v>396</v>
      </c>
    </row>
    <row r="32" spans="1:3" x14ac:dyDescent="0.3">
      <c r="A32" t="s">
        <v>397</v>
      </c>
      <c r="C32" s="12">
        <f>C28/C27</f>
        <v>0.81662848448900849</v>
      </c>
    </row>
    <row r="33" spans="1:3" x14ac:dyDescent="0.3">
      <c r="A33" t="s">
        <v>398</v>
      </c>
      <c r="C33" s="12">
        <f>C29/C27</f>
        <v>0.18337151551099148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719D-953F-48CD-89CD-BAB1C9955D50}">
  <dimension ref="A1:B8"/>
  <sheetViews>
    <sheetView workbookViewId="0">
      <selection activeCell="D10" sqref="D10"/>
    </sheetView>
  </sheetViews>
  <sheetFormatPr defaultRowHeight="14.4" x14ac:dyDescent="0.3"/>
  <cols>
    <col min="1" max="1" width="24.5546875" bestFit="1" customWidth="1"/>
    <col min="2" max="2" width="15.77734375" bestFit="1" customWidth="1"/>
  </cols>
  <sheetData>
    <row r="1" spans="1:2" x14ac:dyDescent="0.3">
      <c r="A1" s="1" t="s">
        <v>401</v>
      </c>
      <c r="B1" s="30" t="s">
        <v>403</v>
      </c>
    </row>
    <row r="2" spans="1:2" x14ac:dyDescent="0.3">
      <c r="A2" t="s">
        <v>402</v>
      </c>
      <c r="B2">
        <f>'DCF Valuation'!B5</f>
        <v>3163.7930552131811</v>
      </c>
    </row>
    <row r="3" spans="1:2" x14ac:dyDescent="0.3">
      <c r="A3" t="s">
        <v>404</v>
      </c>
      <c r="B3">
        <f>'DCF Valuation'!G3</f>
        <v>8092.8426945089532</v>
      </c>
    </row>
    <row r="4" spans="1:2" x14ac:dyDescent="0.3">
      <c r="A4" t="s">
        <v>405</v>
      </c>
      <c r="B4">
        <f>'DCF Valuation'!B13</f>
        <v>11256.635749722134</v>
      </c>
    </row>
    <row r="5" spans="1:2" x14ac:dyDescent="0.3">
      <c r="A5" t="s">
        <v>406</v>
      </c>
      <c r="B5">
        <f>'DCF Valuation'!B14</f>
        <v>3048.8</v>
      </c>
    </row>
    <row r="6" spans="1:2" x14ac:dyDescent="0.3">
      <c r="A6" t="s">
        <v>389</v>
      </c>
      <c r="B6">
        <f>'DCF Valuation'!B15</f>
        <v>8207.8357497221332</v>
      </c>
    </row>
    <row r="7" spans="1:2" x14ac:dyDescent="0.3">
      <c r="A7" t="s">
        <v>407</v>
      </c>
      <c r="B7">
        <f>'Balance Sheet'!L84</f>
        <v>79.800399999999996</v>
      </c>
    </row>
    <row r="8" spans="1:2" x14ac:dyDescent="0.3">
      <c r="A8" t="s">
        <v>388</v>
      </c>
      <c r="B8">
        <f>'DCF Valuation'!B16</f>
        <v>102.85456902123465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65C8-EFBF-4A25-B6AB-AC14D3584D24}">
  <dimension ref="A1:E7"/>
  <sheetViews>
    <sheetView workbookViewId="0">
      <selection activeCell="C13" sqref="C13"/>
    </sheetView>
  </sheetViews>
  <sheetFormatPr defaultRowHeight="14.4" x14ac:dyDescent="0.3"/>
  <cols>
    <col min="1" max="1" width="18.44140625" bestFit="1" customWidth="1"/>
    <col min="4" max="4" width="20" bestFit="1" customWidth="1"/>
  </cols>
  <sheetData>
    <row r="1" spans="1:5" x14ac:dyDescent="0.3">
      <c r="A1" t="s">
        <v>408</v>
      </c>
      <c r="B1" s="7">
        <f>Assumptions!J18</f>
        <v>2.5000000000000001E-2</v>
      </c>
    </row>
    <row r="2" spans="1:5" x14ac:dyDescent="0.3">
      <c r="A2" t="s">
        <v>381</v>
      </c>
      <c r="D2" t="s">
        <v>409</v>
      </c>
      <c r="E2">
        <f>'FCFF Forecast'!F10</f>
        <v>920.82641428110867</v>
      </c>
    </row>
    <row r="3" spans="1:5" x14ac:dyDescent="0.3">
      <c r="A3" s="7">
        <v>7.1999999999999995E-2</v>
      </c>
      <c r="B3">
        <f>IF(
ISNUMBER(A3)*ISNUMBER(B$1)*(A3&gt;B$1),
(
$E$3+
(($E$2*(1+B$1))/(A3-B$1))*(1/((1+A3)^5))
-$E$4)/$E$5,
NA())</f>
        <v>179.19721816682619</v>
      </c>
      <c r="D3" t="s">
        <v>402</v>
      </c>
      <c r="E3">
        <f>'DCF Valuation'!B5</f>
        <v>3163.7930552131811</v>
      </c>
    </row>
    <row r="4" spans="1:5" x14ac:dyDescent="0.3">
      <c r="A4" s="7">
        <v>7.7499999999999999E-2</v>
      </c>
      <c r="B4">
        <f t="shared" ref="B4:B7" si="0">IF(
ISNUMBER(A4)*ISNUMBER(B$1)*(A4&gt;B$1),
(
$E$3+
(($E$2*(1+B$1))/(A4-B$1))*(1/((1+A4)^5))
-$E$4)/$E$5,
NA())</f>
        <v>156.55496240556471</v>
      </c>
      <c r="D4" t="s">
        <v>100</v>
      </c>
      <c r="E4">
        <f>'DCF Valuation'!B14</f>
        <v>3048.8</v>
      </c>
    </row>
    <row r="5" spans="1:5" x14ac:dyDescent="0.3">
      <c r="A5" s="7">
        <v>7.9500000000000001E-2</v>
      </c>
      <c r="B5">
        <f t="shared" si="0"/>
        <v>149.48365160268611</v>
      </c>
      <c r="D5" t="s">
        <v>114</v>
      </c>
      <c r="E5">
        <f>'Balance Sheet'!L84</f>
        <v>79.800399999999996</v>
      </c>
    </row>
    <row r="6" spans="1:5" x14ac:dyDescent="0.3">
      <c r="A6" s="7">
        <v>8.1500000000000003E-2</v>
      </c>
      <c r="B6">
        <f t="shared" si="0"/>
        <v>142.9276700056956</v>
      </c>
    </row>
    <row r="7" spans="1:5" x14ac:dyDescent="0.3">
      <c r="A7" s="7">
        <v>8.3500000000000005E-2</v>
      </c>
      <c r="B7">
        <f t="shared" si="0"/>
        <v>136.83398049959624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 Statement</vt:lpstr>
      <vt:lpstr>Balance Sheet</vt:lpstr>
      <vt:lpstr>Cash Flow Statement</vt:lpstr>
      <vt:lpstr>Assumptions</vt:lpstr>
      <vt:lpstr>FCFF Forecast</vt:lpstr>
      <vt:lpstr>DCF Valuation</vt:lpstr>
      <vt:lpstr>Valuation Summary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Landge</dc:creator>
  <cp:lastModifiedBy>Tejas Landge</cp:lastModifiedBy>
  <dcterms:created xsi:type="dcterms:W3CDTF">2025-04-01T10:31:17Z</dcterms:created>
  <dcterms:modified xsi:type="dcterms:W3CDTF">2025-05-05T14:01:18Z</dcterms:modified>
</cp:coreProperties>
</file>